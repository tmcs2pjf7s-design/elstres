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plementos Bocadillos" sheetId="1" state="visible" r:id="rId1"/>
    <sheet name="Suplementos Plato Combinado" sheetId="2" state="visible" r:id="rId2"/>
    <sheet name="Suplementos Postres" sheetId="3" state="visible" r:id="rId3"/>
    <sheet name="Suplementos Café" sheetId="4" state="visible" r:id="rId4"/>
    <sheet name="Productos" sheetId="5" state="visible" r:id="rId5"/>
    <sheet name="Bocadillos" sheetId="6" state="visible" r:id="rId6"/>
    <sheet name="Cervezas" sheetId="7" state="visible" r:id="rId7"/>
    <sheet name="Cafés e infusiones" sheetId="8" state="visible" r:id="rId8"/>
    <sheet name="Chupitos" sheetId="9" state="visible" r:id="rId9"/>
    <sheet name="Copas" sheetId="10" state="visible" r:id="rId10"/>
    <sheet name="Cubatas" sheetId="11" state="visible" r:id="rId11"/>
    <sheet name="Ensaladas, menús y combinados" sheetId="12" state="visible" r:id="rId12"/>
    <sheet name="Postres" sheetId="13" state="visible" r:id="rId13"/>
    <sheet name="Refrescos" sheetId="14" state="visible" r:id="rId14"/>
    <sheet name="Tapas" sheetId="15" state="visible" r:id="rId15"/>
    <sheet name="Torradas" sheetId="16" state="visible" r:id="rId16"/>
    <sheet name="Vinos" sheetId="17" state="visible" r:id="rId17"/>
    <sheet name="Desayunos" sheetId="18" state="visible" r:id="rId18"/>
    <sheet name="Bocadillos fríos" sheetId="19" state="visible" r:id="rId19"/>
    <sheet name="Suplementos" sheetId="20" state="visible" r:id="rId20"/>
    <sheet name="Infusiones" sheetId="21" state="visible" r:id="rId21"/>
  </sheets>
  <definedNames>
    <definedName name="_xlnm._FilterDatabase" localSheetId="0" hidden="1">'Suplementos Bocadillos'!$A$1:$C$56</definedName>
    <definedName name="_xlnm._FilterDatabase" localSheetId="1" hidden="1">'Suplementos Plato Combinado'!$A$1:$C$47</definedName>
    <definedName name="_xlnm._FilterDatabase" localSheetId="3" hidden="1">'Suplementos Café'!$A$1:$C$21</definedName>
    <definedName name="_xlnm._FilterDatabase" localSheetId="4" hidden="1">'Productos'!$A$1:$F$462</definedName>
    <definedName name="_xlnm._FilterDatabase" localSheetId="5" hidden="1">'Bocadillos'!$A$1:$E$111</definedName>
    <definedName name="_xlnm._FilterDatabase" localSheetId="6" hidden="1">'Cervezas'!$A$1:$E$26</definedName>
    <definedName name="_xlnm._FilterDatabase" localSheetId="7" hidden="1">'Cafés e infusiones'!$A$1:$E$42</definedName>
    <definedName name="_xlnm._FilterDatabase" localSheetId="8" hidden="1">'Chupitos'!$A$1:$E$32</definedName>
    <definedName name="_xlnm._FilterDatabase" localSheetId="9" hidden="1">'Copas'!$A$1:$E$24</definedName>
    <definedName name="_xlnm._FilterDatabase" localSheetId="10" hidden="1">'Cubatas'!$A$1:$E$15</definedName>
    <definedName name="_xlnm._FilterDatabase" localSheetId="11" hidden="1">'Ensaladas, menús y combinados'!$A$1:$E$28</definedName>
    <definedName name="_xlnm._FilterDatabase" localSheetId="12" hidden="1">'Postres'!$A$1:$E$14</definedName>
    <definedName name="_xlnm._FilterDatabase" localSheetId="13" hidden="1">'Refrescos'!$A$1:$E$37</definedName>
    <definedName name="_xlnm._FilterDatabase" localSheetId="14" hidden="1">'Tapas'!$A$1:$E$37</definedName>
    <definedName name="_xlnm._FilterDatabase" localSheetId="15" hidden="1">'Torradas'!$A$1:$E$20</definedName>
    <definedName name="_xlnm._FilterDatabase" localSheetId="16" hidden="1">'Vinos'!$A$1:$E$16</definedName>
    <definedName name="_xlnm._FilterDatabase" localSheetId="17" hidden="1">'Desayunos'!$A$1:$E$42</definedName>
    <definedName name="_xlnm._FilterDatabase" localSheetId="18" hidden="1">'Bocadillos fríos'!$A$1:$E$15</definedName>
    <definedName name="_xlnm._FilterDatabase" localSheetId="19" hidden="1">'Suplementos'!$A$1:$E$3</definedName>
    <definedName name="_xlnm._FilterDatabase" localSheetId="20" hidden="1">'Infusiones'!$A$1:$E$15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00 &quot;€&quot;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C0504D"/>
      </patternFill>
    </fill>
    <fill>
      <patternFill patternType="solid">
        <fgColor rgb="00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pivotButton="0" quotePrefix="0" xfId="0"/>
    <xf numFmtId="164" fontId="0" fillId="0" borderId="0" pivotButton="0" quotePrefix="0" xfId="0"/>
    <xf numFmtId="0" fontId="0" fillId="3" borderId="0" pivotButton="0" quotePrefix="0" xfId="0"/>
    <xf numFmtId="164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styles" Target="styles.xml" Id="rId22" /><Relationship Type="http://schemas.openxmlformats.org/officeDocument/2006/relationships/theme" Target="theme/theme1.xml" Id="rId2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 outlineLevelCol="0"/>
  <cols>
    <col width="26" customWidth="1" min="1" max="1"/>
    <col width="12" customWidth="1" min="2" max="2"/>
    <col width="62" customWidth="1" min="3" max="3"/>
  </cols>
  <sheetData>
    <row r="1">
      <c r="A1" s="1" t="inlineStr">
        <is>
          <t>Nombre</t>
        </is>
      </c>
      <c r="B1" s="1" t="inlineStr">
        <is>
          <t>Precio (€)</t>
        </is>
      </c>
      <c r="C1" s="1" t="inlineStr">
        <is>
          <t>Nota</t>
        </is>
      </c>
    </row>
    <row r="2">
      <c r="A2" t="inlineStr">
        <is>
          <t>Champiñones</t>
        </is>
      </c>
      <c r="B2" s="2" t="n">
        <v>1</v>
      </c>
      <c r="C2" t="inlineStr"/>
    </row>
    <row r="3">
      <c r="A3" t="inlineStr">
        <is>
          <t>Queso</t>
        </is>
      </c>
      <c r="B3" s="2" t="n">
        <v>1.2</v>
      </c>
      <c r="C3" t="inlineStr"/>
    </row>
    <row r="4">
      <c r="A4" t="inlineStr">
        <is>
          <t>Bacon</t>
        </is>
      </c>
      <c r="B4" s="2" t="n">
        <v>1.5</v>
      </c>
      <c r="C4" t="inlineStr"/>
    </row>
    <row r="5">
      <c r="A5" s="3" t="inlineStr">
        <is>
          <t>Pan con tomate</t>
        </is>
      </c>
      <c r="B5" s="4" t="n">
        <v>0.15</v>
      </c>
      <c r="C5" s="3" t="inlineStr">
        <is>
          <t>Revisar: precio bajo comparado con 'Rodaja pan con tomate' (1,45)</t>
        </is>
      </c>
    </row>
    <row r="6">
      <c r="A6" t="inlineStr">
        <is>
          <t>Sin pan con tomate</t>
        </is>
      </c>
      <c r="B6" s="2" t="n"/>
      <c r="C6" t="inlineStr">
        <is>
          <t>Sin precio en pantalla (probablemente gratis)</t>
        </is>
      </c>
    </row>
    <row r="7">
      <c r="A7" t="inlineStr">
        <is>
          <t>Cebolla (ceba)</t>
        </is>
      </c>
      <c r="B7" s="2" t="n">
        <v>1.1</v>
      </c>
      <c r="C7" t="inlineStr"/>
    </row>
    <row r="8">
      <c r="A8" t="inlineStr">
        <is>
          <t>Al plato</t>
        </is>
      </c>
      <c r="B8" s="2" t="n"/>
      <c r="C8" t="inlineStr">
        <is>
          <t>Sin precio en pantalla (probablemente gratis)</t>
        </is>
      </c>
    </row>
    <row r="9">
      <c r="A9" t="inlineStr">
        <is>
          <t>Mayonesa</t>
        </is>
      </c>
      <c r="B9" s="2" t="n">
        <v>0.35</v>
      </c>
      <c r="C9" t="inlineStr"/>
    </row>
    <row r="10">
      <c r="A10" t="inlineStr">
        <is>
          <t>Alioli</t>
        </is>
      </c>
      <c r="B10" s="2" t="n">
        <v>0.35</v>
      </c>
      <c r="C10" t="inlineStr"/>
    </row>
    <row r="11">
      <c r="A11" t="inlineStr">
        <is>
          <t>Anchoas</t>
        </is>
      </c>
      <c r="B11" s="2" t="n">
        <v>1.95</v>
      </c>
      <c r="C11" t="inlineStr"/>
    </row>
    <row r="12">
      <c r="A12" t="inlineStr">
        <is>
          <t>Ternera</t>
        </is>
      </c>
      <c r="B12" s="2" t="n">
        <v>2.25</v>
      </c>
      <c r="C12" t="inlineStr"/>
    </row>
    <row r="13">
      <c r="A13" t="inlineStr">
        <is>
          <t>Lomo</t>
        </is>
      </c>
      <c r="B13" s="2" t="n">
        <v>1.85</v>
      </c>
      <c r="C13" t="inlineStr"/>
    </row>
    <row r="14">
      <c r="A14" t="inlineStr">
        <is>
          <t>Hamburguesa</t>
        </is>
      </c>
      <c r="B14" s="2" t="n">
        <v>1.95</v>
      </c>
      <c r="C14" t="inlineStr"/>
    </row>
    <row r="15">
      <c r="A15" t="inlineStr">
        <is>
          <t>Pan planchado</t>
        </is>
      </c>
      <c r="B15" s="2" t="n"/>
      <c r="C15" t="inlineStr">
        <is>
          <t>Sin precio en pantalla (probablemente gratis)</t>
        </is>
      </c>
    </row>
    <row r="16">
      <c r="A16" s="3" t="inlineStr">
        <is>
          <t>Huevo</t>
        </is>
      </c>
      <c r="B16" s="4" t="n">
        <v>1.2</v>
      </c>
      <c r="C16" s="3" t="inlineStr">
        <is>
          <t>Revisar: 'Huevo' aparece dos veces con precios distintos</t>
        </is>
      </c>
    </row>
    <row r="17">
      <c r="A17" t="inlineStr">
        <is>
          <t>Jamón dulce</t>
        </is>
      </c>
      <c r="B17" s="2" t="n">
        <v>1.15</v>
      </c>
      <c r="C17" t="inlineStr"/>
    </row>
    <row r="18">
      <c r="A18" t="inlineStr">
        <is>
          <t>Lechuga</t>
        </is>
      </c>
      <c r="B18" s="2" t="n">
        <v>1.1</v>
      </c>
      <c r="C18" t="inlineStr"/>
    </row>
    <row r="19">
      <c r="A19" t="inlineStr">
        <is>
          <t>Salsa verde</t>
        </is>
      </c>
      <c r="B19" s="2" t="n"/>
      <c r="C19" t="inlineStr">
        <is>
          <t>Sin precio en pantalla (probablemente gratis)</t>
        </is>
      </c>
    </row>
    <row r="20">
      <c r="A20" t="inlineStr">
        <is>
          <t>Bien hecho</t>
        </is>
      </c>
      <c r="B20" s="2" t="n"/>
      <c r="C20" t="inlineStr">
        <is>
          <t>Sin precio en pantalla (probablemente gratis)</t>
        </is>
      </c>
    </row>
    <row r="21">
      <c r="A21" t="inlineStr">
        <is>
          <t>Pimiento</t>
        </is>
      </c>
      <c r="B21" s="2" t="n">
        <v>1.25</v>
      </c>
      <c r="C21" t="inlineStr"/>
    </row>
    <row r="22">
      <c r="A22" t="inlineStr">
        <is>
          <t>Queso brie</t>
        </is>
      </c>
      <c r="B22" s="2" t="n">
        <v>1.75</v>
      </c>
      <c r="C22" t="inlineStr"/>
    </row>
    <row r="23">
      <c r="A23" t="inlineStr">
        <is>
          <t>Ajo y perejil</t>
        </is>
      </c>
      <c r="B23" s="2" t="n">
        <v>0.9</v>
      </c>
      <c r="C23" t="inlineStr"/>
    </row>
    <row r="24">
      <c r="A24" t="inlineStr">
        <is>
          <t>Oliva</t>
        </is>
      </c>
      <c r="B24" s="2" t="n">
        <v>1</v>
      </c>
      <c r="C24" t="inlineStr"/>
    </row>
    <row r="25">
      <c r="A25" t="inlineStr">
        <is>
          <t>Rodaja pan con tomate</t>
        </is>
      </c>
      <c r="B25" s="2" t="n">
        <v>1.45</v>
      </c>
      <c r="C25" t="inlineStr"/>
    </row>
    <row r="26">
      <c r="A26" t="inlineStr">
        <is>
          <t>Rodaja de tomates</t>
        </is>
      </c>
      <c r="B26" s="2" t="n">
        <v>1.1</v>
      </c>
      <c r="C26" t="inlineStr"/>
    </row>
    <row r="27">
      <c r="A27" t="inlineStr">
        <is>
          <t>Jamón salado</t>
        </is>
      </c>
      <c r="B27" s="2" t="n">
        <v>1.2</v>
      </c>
      <c r="C27" t="inlineStr"/>
    </row>
    <row r="28">
      <c r="A28" t="inlineStr">
        <is>
          <t>Piña</t>
        </is>
      </c>
      <c r="B28" s="2" t="n">
        <v>0.8</v>
      </c>
      <c r="C28" t="inlineStr">
        <is>
          <t>Aparece dos veces en la caja con precios distintos</t>
        </is>
      </c>
    </row>
    <row r="29">
      <c r="A29" t="inlineStr">
        <is>
          <t>Pollo</t>
        </is>
      </c>
      <c r="B29" s="2" t="n">
        <v>1.75</v>
      </c>
      <c r="C29" t="inlineStr"/>
    </row>
    <row r="30">
      <c r="A30" t="inlineStr">
        <is>
          <t>Piña</t>
        </is>
      </c>
      <c r="B30" s="2" t="n">
        <v>0.9</v>
      </c>
      <c r="C30" t="inlineStr">
        <is>
          <t>Aparece dos veces en la caja con precios distintos</t>
        </is>
      </c>
    </row>
    <row r="31">
      <c r="A31" t="inlineStr">
        <is>
          <t>Salsa romesco</t>
        </is>
      </c>
      <c r="B31" s="2" t="n">
        <v>0.9</v>
      </c>
      <c r="C31" t="inlineStr"/>
    </row>
    <row r="32">
      <c r="A32" t="inlineStr">
        <is>
          <t>Atún</t>
        </is>
      </c>
      <c r="B32" s="2" t="n">
        <v>1.1</v>
      </c>
      <c r="C32" t="inlineStr"/>
    </row>
    <row r="33">
      <c r="A33" t="inlineStr">
        <is>
          <t>Hamburguesa picante</t>
        </is>
      </c>
      <c r="B33" s="2" t="n">
        <v>2.05</v>
      </c>
      <c r="C33" t="inlineStr"/>
    </row>
    <row r="34">
      <c r="A34" t="inlineStr">
        <is>
          <t>Salsa rosa</t>
        </is>
      </c>
      <c r="B34" s="2" t="n"/>
      <c r="C34" t="inlineStr">
        <is>
          <t>Sin precio en pantalla (probablemente gratis)</t>
        </is>
      </c>
    </row>
    <row r="35">
      <c r="A35" t="inlineStr">
        <is>
          <t>Cebolla</t>
        </is>
      </c>
      <c r="B35" s="2" t="n">
        <v>1.1</v>
      </c>
      <c r="C35" t="inlineStr"/>
    </row>
    <row r="36">
      <c r="A36" t="inlineStr">
        <is>
          <t>Tortilla</t>
        </is>
      </c>
      <c r="B36" s="2" t="n">
        <v>1.5</v>
      </c>
      <c r="C36" t="inlineStr"/>
    </row>
    <row r="37">
      <c r="A37" t="inlineStr">
        <is>
          <t>Abierto</t>
        </is>
      </c>
      <c r="B37" s="2" t="n"/>
      <c r="C37" t="inlineStr">
        <is>
          <t>Sin precio en pantalla (probablemente gratis)</t>
        </is>
      </c>
    </row>
    <row r="38">
      <c r="A38" t="inlineStr">
        <is>
          <t>Hamburguesa vegana</t>
        </is>
      </c>
      <c r="B38" s="2" t="n">
        <v>1.95</v>
      </c>
      <c r="C38" t="inlineStr"/>
    </row>
    <row r="39">
      <c r="A39" s="3" t="inlineStr">
        <is>
          <t>Huevo</t>
        </is>
      </c>
      <c r="B39" s="4" t="n">
        <v>1.1</v>
      </c>
      <c r="C39" s="3" t="inlineStr">
        <is>
          <t>Revisar: 'Huevo' aparece dos veces con precios distintos</t>
        </is>
      </c>
    </row>
    <row r="40">
      <c r="A40" t="inlineStr">
        <is>
          <t>Doble huevo</t>
        </is>
      </c>
      <c r="B40" s="2" t="n">
        <v>1.95</v>
      </c>
      <c r="C40" t="inlineStr"/>
    </row>
    <row r="41">
      <c r="A41" t="inlineStr">
        <is>
          <t>Doble queso</t>
        </is>
      </c>
      <c r="B41" s="2" t="n">
        <v>1.95</v>
      </c>
      <c r="C41" t="inlineStr"/>
    </row>
    <row r="42">
      <c r="A42" t="inlineStr">
        <is>
          <t>Viandox</t>
        </is>
      </c>
      <c r="B42" s="2" t="n"/>
      <c r="C42" t="inlineStr">
        <is>
          <t>Sin precio en pantalla (probablemente gratis)</t>
        </is>
      </c>
    </row>
    <row r="43">
      <c r="A43" t="inlineStr">
        <is>
          <t>Tomate del Vallès</t>
        </is>
      </c>
      <c r="B43" s="2" t="n"/>
      <c r="C43" t="inlineStr">
        <is>
          <t>Sin precio en pantalla (probablemente gratis)</t>
        </is>
      </c>
    </row>
    <row r="44">
      <c r="A44" t="inlineStr">
        <is>
          <t>Mostaza del Vallès</t>
        </is>
      </c>
      <c r="B44" s="2" t="n"/>
      <c r="C44" t="inlineStr">
        <is>
          <t>Sin precio en pantalla (probablemente gratis)</t>
        </is>
      </c>
    </row>
    <row r="45">
      <c r="A45" t="inlineStr">
        <is>
          <t>Cebolla cruda</t>
        </is>
      </c>
      <c r="B45" s="2" t="n">
        <v>1.1</v>
      </c>
      <c r="C45" t="inlineStr"/>
    </row>
    <row r="46">
      <c r="A46" t="inlineStr">
        <is>
          <t>Suplemento frankfurt</t>
        </is>
      </c>
      <c r="B46" s="2" t="n">
        <v>1.95</v>
      </c>
      <c r="C46" t="inlineStr"/>
    </row>
    <row r="47">
      <c r="A47" t="inlineStr">
        <is>
          <t>Troceado</t>
        </is>
      </c>
      <c r="B47" s="2" t="n"/>
      <c r="C47" t="inlineStr">
        <is>
          <t>Sin precio en pantalla (probablemente gratis)</t>
        </is>
      </c>
    </row>
    <row r="48">
      <c r="A48" t="inlineStr">
        <is>
          <t>Para llevar</t>
        </is>
      </c>
      <c r="B48" s="2" t="n"/>
      <c r="C48" t="inlineStr">
        <is>
          <t>Sin precio en pantalla (probablemente gratis)</t>
        </is>
      </c>
    </row>
    <row r="49">
      <c r="A49" t="inlineStr">
        <is>
          <t>Mermelada</t>
        </is>
      </c>
      <c r="B49" s="2" t="n">
        <v>0.5</v>
      </c>
      <c r="C49" t="inlineStr"/>
    </row>
    <row r="50">
      <c r="A50" t="inlineStr">
        <is>
          <t>Mantequilla</t>
        </is>
      </c>
      <c r="B50" s="2" t="n">
        <v>0.5</v>
      </c>
      <c r="C50" t="inlineStr"/>
    </row>
    <row r="51">
      <c r="A51" t="inlineStr">
        <is>
          <t>Salchicha del país</t>
        </is>
      </c>
      <c r="B51" s="2" t="n">
        <v>1.95</v>
      </c>
      <c r="C51" t="inlineStr"/>
    </row>
    <row r="52">
      <c r="A52" t="inlineStr">
        <is>
          <t>Poco hecho</t>
        </is>
      </c>
      <c r="B52" s="2" t="n"/>
      <c r="C52" t="inlineStr">
        <is>
          <t>Sin precio en pantalla (probablemente gratis)</t>
        </is>
      </c>
    </row>
    <row r="53">
      <c r="A53" t="inlineStr">
        <is>
          <t>Partido en dos</t>
        </is>
      </c>
      <c r="B53" s="2" t="n"/>
      <c r="C53" t="inlineStr">
        <is>
          <t>Sin precio en pantalla (probablemente gratis)</t>
        </is>
      </c>
    </row>
    <row r="54">
      <c r="A54" t="inlineStr">
        <is>
          <t>Pan blanco</t>
        </is>
      </c>
      <c r="B54" s="2" t="n"/>
      <c r="C54" t="inlineStr">
        <is>
          <t>Sin precio en pantalla (probablemente gratis)</t>
        </is>
      </c>
    </row>
    <row r="55">
      <c r="A55" t="inlineStr">
        <is>
          <t>Pan tostado</t>
        </is>
      </c>
      <c r="B55" s="2" t="n"/>
      <c r="C55" t="inlineStr">
        <is>
          <t>Sin precio en pantalla (probablemente gratis)</t>
        </is>
      </c>
    </row>
    <row r="56">
      <c r="A56" t="inlineStr">
        <is>
          <t>Pinkatwurst</t>
        </is>
      </c>
      <c r="B56" s="2" t="n">
        <v>2.05</v>
      </c>
      <c r="C56" t="inlineStr"/>
    </row>
  </sheetData>
  <autoFilter ref="A1:C56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 outlineLevelCol="0"/>
  <cols>
    <col width="26" customWidth="1" min="1" max="1"/>
    <col width="12" customWidth="1" min="2" max="2"/>
    <col width="62" customWidth="1" min="3" max="3"/>
  </cols>
  <sheetData>
    <row r="1">
      <c r="A1" s="1" t="inlineStr">
        <is>
          <t>Nombre</t>
        </is>
      </c>
      <c r="B1" s="1" t="inlineStr">
        <is>
          <t>Precio (€)</t>
        </is>
      </c>
      <c r="C1" s="1" t="inlineStr">
        <is>
          <t>Nota</t>
        </is>
      </c>
    </row>
    <row r="2">
      <c r="A2" t="inlineStr">
        <is>
          <t>Sal</t>
        </is>
      </c>
      <c r="B2" s="2" t="n"/>
      <c r="C2" t="inlineStr">
        <is>
          <t>Sin precio en pantalla (probablemente gratis)</t>
        </is>
      </c>
    </row>
    <row r="3">
      <c r="A3" t="inlineStr">
        <is>
          <t>Sin salsa brava</t>
        </is>
      </c>
      <c r="B3" s="2" t="n"/>
      <c r="C3" t="inlineStr">
        <is>
          <t>Sin precio en pantalla (probablemente gratis)</t>
        </is>
      </c>
    </row>
    <row r="4">
      <c r="A4" t="inlineStr">
        <is>
          <t>Muy hecho</t>
        </is>
      </c>
      <c r="B4" s="2" t="n"/>
      <c r="C4" t="inlineStr">
        <is>
          <t>Sin precio en pantalla (probablemente gratis)</t>
        </is>
      </c>
    </row>
    <row r="5">
      <c r="A5" t="inlineStr">
        <is>
          <t>Doble huevo</t>
        </is>
      </c>
      <c r="B5" s="2" t="n">
        <v>1.95</v>
      </c>
      <c r="C5" t="inlineStr"/>
    </row>
    <row r="6">
      <c r="A6" t="inlineStr">
        <is>
          <t>Sin chistorra</t>
        </is>
      </c>
      <c r="B6" s="2" t="n"/>
      <c r="C6" t="inlineStr">
        <is>
          <t>Sin precio en pantalla (probablemente gratis)</t>
        </is>
      </c>
    </row>
    <row r="7">
      <c r="A7" t="inlineStr">
        <is>
          <t>Sin panceta</t>
        </is>
      </c>
      <c r="B7" s="2" t="n"/>
      <c r="C7" t="inlineStr">
        <is>
          <t>Sin precio en pantalla (probablemente gratis)</t>
        </is>
      </c>
    </row>
    <row r="8">
      <c r="A8" t="inlineStr">
        <is>
          <t>Sin croquetas</t>
        </is>
      </c>
      <c r="B8" s="2" t="n"/>
      <c r="C8" t="inlineStr">
        <is>
          <t>Sin precio en pantalla (probablemente gratis)</t>
        </is>
      </c>
    </row>
    <row r="9">
      <c r="A9" t="inlineStr">
        <is>
          <t>Sin lomo</t>
        </is>
      </c>
      <c r="B9" s="2" t="n"/>
      <c r="C9" t="inlineStr">
        <is>
          <t>Sin precio en pantalla (probablemente gratis)</t>
        </is>
      </c>
    </row>
    <row r="10">
      <c r="A10" t="inlineStr">
        <is>
          <t>Sin bravas</t>
        </is>
      </c>
      <c r="B10" s="2" t="n"/>
      <c r="C10" t="inlineStr">
        <is>
          <t>Sin precio en pantalla (probablemente gratis)</t>
        </is>
      </c>
    </row>
    <row r="11">
      <c r="A11" t="inlineStr">
        <is>
          <t>Con butifarra</t>
        </is>
      </c>
      <c r="B11" s="2" t="n"/>
      <c r="C11" t="inlineStr">
        <is>
          <t>Sin precio en pantalla (probablemente gratis)</t>
        </is>
      </c>
    </row>
    <row r="12">
      <c r="A12" t="inlineStr">
        <is>
          <t>Sin ensalada</t>
        </is>
      </c>
      <c r="B12" s="2" t="n"/>
      <c r="C12" t="inlineStr">
        <is>
          <t>Sin precio en pantalla (probablemente gratis)</t>
        </is>
      </c>
    </row>
    <row r="13">
      <c r="A13" t="inlineStr">
        <is>
          <t>Sin frankfurt</t>
        </is>
      </c>
      <c r="B13" s="2" t="n"/>
      <c r="C13" t="inlineStr">
        <is>
          <t>Sin precio en pantalla (probablemente gratis)</t>
        </is>
      </c>
    </row>
    <row r="14">
      <c r="A14" s="3" t="inlineStr">
        <is>
          <t>Cebolla cruda</t>
        </is>
      </c>
      <c r="B14" s="4" t="n">
        <v>1.05</v>
      </c>
      <c r="C14" s="3" t="inlineStr">
        <is>
          <t>Revisar: precio poco claro en la foto (podría ser de 'Con ensalada')</t>
        </is>
      </c>
    </row>
    <row r="15">
      <c r="A15" t="inlineStr">
        <is>
          <t>Con ensalada</t>
        </is>
      </c>
      <c r="B15" s="2" t="n"/>
      <c r="C15" t="inlineStr">
        <is>
          <t>Sin precio en pantalla (probablemente gratis)</t>
        </is>
      </c>
    </row>
    <row r="16">
      <c r="A16" t="inlineStr">
        <is>
          <t>Al punto</t>
        </is>
      </c>
      <c r="B16" s="2" t="n"/>
      <c r="C16" t="inlineStr">
        <is>
          <t>Sin precio en pantalla (probablemente gratis)</t>
        </is>
      </c>
    </row>
    <row r="17">
      <c r="A17" t="inlineStr">
        <is>
          <t>Viandox</t>
        </is>
      </c>
      <c r="B17" s="2" t="n"/>
      <c r="C17" t="inlineStr">
        <is>
          <t>Sin precio en pantalla (probablemente gratis)</t>
        </is>
      </c>
    </row>
    <row r="18">
      <c r="A18" t="inlineStr">
        <is>
          <t>Con chistorra</t>
        </is>
      </c>
      <c r="B18" s="2" t="n"/>
      <c r="C18" t="inlineStr">
        <is>
          <t>Sin precio en pantalla (probablemente gratis)</t>
        </is>
      </c>
    </row>
    <row r="19">
      <c r="A19" t="inlineStr">
        <is>
          <t>Con panceta</t>
        </is>
      </c>
      <c r="B19" s="2" t="n"/>
      <c r="C19" t="inlineStr">
        <is>
          <t>Sin precio en pantalla (probablemente gratis)</t>
        </is>
      </c>
    </row>
    <row r="20">
      <c r="A20" t="inlineStr">
        <is>
          <t>Con croquetas</t>
        </is>
      </c>
      <c r="B20" s="2" t="n"/>
      <c r="C20" t="inlineStr">
        <is>
          <t>Sin precio en pantalla (probablemente gratis)</t>
        </is>
      </c>
    </row>
    <row r="21">
      <c r="A21" t="inlineStr">
        <is>
          <t>Con lomo</t>
        </is>
      </c>
      <c r="B21" s="2" t="n"/>
      <c r="C21" t="inlineStr">
        <is>
          <t>Sin precio en pantalla (probablemente gratis)</t>
        </is>
      </c>
    </row>
    <row r="22">
      <c r="A22" t="inlineStr">
        <is>
          <t>Con tortilla</t>
        </is>
      </c>
      <c r="B22" s="2" t="n"/>
      <c r="C22" t="inlineStr">
        <is>
          <t>Sin precio en pantalla (probablemente gratis)</t>
        </is>
      </c>
    </row>
    <row r="23">
      <c r="A23" t="inlineStr">
        <is>
          <t>Con frankfurt</t>
        </is>
      </c>
      <c r="B23" s="2" t="n"/>
      <c r="C23" t="inlineStr">
        <is>
          <t>Sin precio en pantalla (probablemente gratis)</t>
        </is>
      </c>
    </row>
    <row r="24">
      <c r="A24" t="inlineStr">
        <is>
          <t>Sin patatas fritas</t>
        </is>
      </c>
      <c r="B24" s="2" t="n"/>
      <c r="C24" t="inlineStr">
        <is>
          <t>Sin precio en pantalla (probablemente gratis)</t>
        </is>
      </c>
    </row>
    <row r="25">
      <c r="A25" t="inlineStr">
        <is>
          <t>Con patatas fritas</t>
        </is>
      </c>
      <c r="B25" s="2" t="n"/>
      <c r="C25" t="inlineStr">
        <is>
          <t>Sin precio en pantalla (probablemente gratis)</t>
        </is>
      </c>
    </row>
    <row r="26">
      <c r="A26" t="inlineStr">
        <is>
          <t>Frankfurt</t>
        </is>
      </c>
      <c r="B26" s="2" t="n">
        <v>1.75</v>
      </c>
      <c r="C26" t="inlineStr"/>
    </row>
    <row r="27">
      <c r="A27" t="inlineStr">
        <is>
          <t>Con salchicha del país</t>
        </is>
      </c>
      <c r="B27" s="2" t="n"/>
      <c r="C27" t="inlineStr">
        <is>
          <t>Sin precio en pantalla (probablemente gratis)</t>
        </is>
      </c>
    </row>
    <row r="28">
      <c r="A28" t="inlineStr">
        <is>
          <t>Tomate del Vallès</t>
        </is>
      </c>
      <c r="B28" s="2" t="n"/>
      <c r="C28" t="inlineStr">
        <is>
          <t>Sin precio en pantalla (probablemente gratis)</t>
        </is>
      </c>
    </row>
    <row r="29">
      <c r="A29" t="inlineStr">
        <is>
          <t>Sin pikhamtwurst</t>
        </is>
      </c>
      <c r="B29" s="2" t="n"/>
      <c r="C29" t="inlineStr">
        <is>
          <t>Sin precio en pantalla (probablemente gratis)</t>
        </is>
      </c>
    </row>
    <row r="30">
      <c r="A30" t="inlineStr">
        <is>
          <t>Con bravas</t>
        </is>
      </c>
      <c r="B30" s="2" t="n"/>
      <c r="C30" t="inlineStr">
        <is>
          <t>Sin precio en pantalla (probablemente gratis)</t>
        </is>
      </c>
    </row>
    <row r="31">
      <c r="A31" t="inlineStr">
        <is>
          <t>Sin hamburguesa</t>
        </is>
      </c>
      <c r="B31" s="2" t="n"/>
      <c r="C31" t="inlineStr">
        <is>
          <t>Sin precio en pantalla (probablemente gratis)</t>
        </is>
      </c>
    </row>
    <row r="32">
      <c r="A32" t="inlineStr">
        <is>
          <t>Sin tira de pollo</t>
        </is>
      </c>
      <c r="B32" s="2" t="n"/>
      <c r="C32" t="inlineStr">
        <is>
          <t>Sin precio en pantalla (probablemente gratis)</t>
        </is>
      </c>
    </row>
    <row r="33">
      <c r="A33" s="3" t="inlineStr">
        <is>
          <t>Con huevo</t>
        </is>
      </c>
      <c r="B33" s="4" t="n">
        <v>1</v>
      </c>
      <c r="C33" s="3" t="inlineStr">
        <is>
          <t>Revisar: precio poco claro en la foto (podría ser de 'Sin calamares')</t>
        </is>
      </c>
    </row>
    <row r="34">
      <c r="A34" t="inlineStr">
        <is>
          <t>Sin calamares</t>
        </is>
      </c>
      <c r="B34" s="2" t="n"/>
      <c r="C34" t="inlineStr">
        <is>
          <t>Sin precio en pantalla (probablemente gratis)</t>
        </is>
      </c>
    </row>
    <row r="35">
      <c r="A35" t="inlineStr">
        <is>
          <t>Sin butifarra</t>
        </is>
      </c>
      <c r="B35" s="2" t="n"/>
      <c r="C35" t="inlineStr">
        <is>
          <t>Sin precio en pantalla (probablemente gratis)</t>
        </is>
      </c>
    </row>
    <row r="36">
      <c r="A36" t="inlineStr">
        <is>
          <t>Sin pollo</t>
        </is>
      </c>
      <c r="B36" s="2" t="n"/>
      <c r="C36" t="inlineStr">
        <is>
          <t>Sin precio en pantalla (probablemente gratis)</t>
        </is>
      </c>
    </row>
    <row r="37">
      <c r="A37" t="inlineStr">
        <is>
          <t>Troceado</t>
        </is>
      </c>
      <c r="B37" s="2" t="n"/>
      <c r="C37" t="inlineStr">
        <is>
          <t>Sin precio en pantalla (probablemente gratis)</t>
        </is>
      </c>
    </row>
    <row r="38">
      <c r="A38" t="inlineStr">
        <is>
          <t>Doble queso</t>
        </is>
      </c>
      <c r="B38" s="2" t="n">
        <v>1.95</v>
      </c>
      <c r="C38" t="inlineStr"/>
    </row>
    <row r="39">
      <c r="A39" t="inlineStr">
        <is>
          <t>Mostaza del Vallès</t>
        </is>
      </c>
      <c r="B39" s="2" t="n"/>
      <c r="C39" t="inlineStr">
        <is>
          <t>Sin precio en pantalla (probablemente gratis)</t>
        </is>
      </c>
    </row>
    <row r="40">
      <c r="A40" t="inlineStr">
        <is>
          <t>Con pikhamtwurst</t>
        </is>
      </c>
      <c r="B40" s="2" t="n"/>
      <c r="C40" t="inlineStr">
        <is>
          <t>Sin precio en pantalla (probablemente gratis)</t>
        </is>
      </c>
    </row>
    <row r="41">
      <c r="A41" t="inlineStr">
        <is>
          <t>Poco hecho</t>
        </is>
      </c>
      <c r="B41" s="2" t="n"/>
      <c r="C41" t="inlineStr">
        <is>
          <t>Sin precio en pantalla (probablemente gratis)</t>
        </is>
      </c>
    </row>
    <row r="42">
      <c r="A42" t="inlineStr">
        <is>
          <t>Con hamburguesa</t>
        </is>
      </c>
      <c r="B42" s="2" t="n"/>
      <c r="C42" t="inlineStr">
        <is>
          <t>Sin precio en pantalla (probablemente gratis)</t>
        </is>
      </c>
    </row>
    <row r="43">
      <c r="A43" t="inlineStr">
        <is>
          <t>Con tira de pollo</t>
        </is>
      </c>
      <c r="B43" s="2" t="n"/>
      <c r="C43" t="inlineStr">
        <is>
          <t>Sin precio en pantalla (probablemente gratis)</t>
        </is>
      </c>
    </row>
    <row r="44">
      <c r="A44" t="inlineStr">
        <is>
          <t>Sin tortilla</t>
        </is>
      </c>
      <c r="B44" s="2" t="n"/>
      <c r="C44" t="inlineStr">
        <is>
          <t>Sin precio en pantalla (probablemente gratis)</t>
        </is>
      </c>
    </row>
    <row r="45">
      <c r="A45" t="inlineStr">
        <is>
          <t>Con calamares</t>
        </is>
      </c>
      <c r="B45" s="2" t="n"/>
      <c r="C45" t="inlineStr">
        <is>
          <t>Sin precio en pantalla (probablemente gratis)</t>
        </is>
      </c>
    </row>
    <row r="46">
      <c r="A46" t="inlineStr">
        <is>
          <t>Sin huevo</t>
        </is>
      </c>
      <c r="B46" s="2" t="n"/>
      <c r="C46" t="inlineStr">
        <is>
          <t>Sin precio en pantalla (probablemente gratis)</t>
        </is>
      </c>
    </row>
    <row r="47">
      <c r="A47" t="inlineStr">
        <is>
          <t>Con pollo</t>
        </is>
      </c>
      <c r="B47" s="2" t="n"/>
      <c r="C47" t="inlineStr">
        <is>
          <t>Sin precio en pantalla (probablemente gratis)</t>
        </is>
      </c>
    </row>
  </sheetData>
  <autoFilter ref="A1:C47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12" customWidth="1" min="2" max="2"/>
    <col width="62" customWidth="1" min="3" max="3"/>
  </cols>
  <sheetData>
    <row r="1">
      <c r="A1" s="1" t="inlineStr">
        <is>
          <t>Nombre</t>
        </is>
      </c>
      <c r="B1" s="1" t="inlineStr">
        <is>
          <t>Precio (€)</t>
        </is>
      </c>
      <c r="C1" s="1" t="inlineStr">
        <is>
          <t>Nota</t>
        </is>
      </c>
    </row>
    <row r="2">
      <c r="A2" t="inlineStr">
        <is>
          <t>Sin galleta</t>
        </is>
      </c>
      <c r="B2" s="2" t="n"/>
      <c r="C2" t="inlineStr">
        <is>
          <t>Sin precio en pantalla (probablemente gratis)</t>
        </is>
      </c>
    </row>
    <row r="3">
      <c r="A3" t="inlineStr">
        <is>
          <t>Sin nata</t>
        </is>
      </c>
      <c r="B3" s="2" t="n"/>
      <c r="C3" t="inlineStr">
        <is>
          <t>Sin precio en pantalla (probablemente gratis)</t>
        </is>
      </c>
    </row>
    <row r="4">
      <c r="A4" t="inlineStr">
        <is>
          <t>Sin sirope</t>
        </is>
      </c>
      <c r="B4" s="2" t="n"/>
      <c r="C4" t="inlineStr">
        <is>
          <t>Sin precio en pantalla (probablemente gratis)</t>
        </is>
      </c>
    </row>
    <row r="5">
      <c r="A5" t="inlineStr">
        <is>
          <t>Caliente</t>
        </is>
      </c>
      <c r="B5" s="2" t="n"/>
      <c r="C5" t="inlineStr">
        <is>
          <t>Sin precio en pantalla (probablemente gratis)</t>
        </is>
      </c>
    </row>
    <row r="6">
      <c r="A6" t="inlineStr">
        <is>
          <t>Sin calentar</t>
        </is>
      </c>
      <c r="B6" s="2" t="n"/>
      <c r="C6" t="inlineStr">
        <is>
          <t>Sin precio en pantalla (probablemente gratis)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12" customWidth="1" min="2" max="2"/>
    <col width="62" customWidth="1" min="3" max="3"/>
  </cols>
  <sheetData>
    <row r="1">
      <c r="A1" s="1" t="inlineStr">
        <is>
          <t>Nombre</t>
        </is>
      </c>
      <c r="B1" s="1" t="inlineStr">
        <is>
          <t>Precio (€)</t>
        </is>
      </c>
      <c r="C1" s="1" t="inlineStr">
        <is>
          <t>Nota</t>
        </is>
      </c>
    </row>
    <row r="2">
      <c r="A2" t="inlineStr">
        <is>
          <t>Corto de café</t>
        </is>
      </c>
      <c r="B2" s="2" t="n"/>
      <c r="C2" t="inlineStr">
        <is>
          <t>Sin precio en pantalla (probablemente gratis)</t>
        </is>
      </c>
    </row>
    <row r="3">
      <c r="A3" t="inlineStr">
        <is>
          <t>Corto de leche</t>
        </is>
      </c>
      <c r="B3" s="2" t="n"/>
      <c r="C3" t="inlineStr">
        <is>
          <t>Sin precio en pantalla (probablemente gratis)</t>
        </is>
      </c>
    </row>
    <row r="4">
      <c r="A4" t="inlineStr">
        <is>
          <t>Doble carga</t>
        </is>
      </c>
      <c r="B4" s="2" t="n">
        <v>0.8</v>
      </c>
      <c r="C4" t="inlineStr"/>
    </row>
    <row r="5">
      <c r="A5" t="inlineStr">
        <is>
          <t>Limón en rodaja</t>
        </is>
      </c>
      <c r="B5" s="2" t="n">
        <v>0.1</v>
      </c>
      <c r="C5" t="inlineStr"/>
    </row>
    <row r="6">
      <c r="A6" t="inlineStr">
        <is>
          <t>Para llevar</t>
        </is>
      </c>
      <c r="B6" s="2" t="n">
        <v>0.2</v>
      </c>
      <c r="C6" t="inlineStr"/>
    </row>
    <row r="7">
      <c r="A7" t="inlineStr">
        <is>
          <t>Muy caliente</t>
        </is>
      </c>
      <c r="B7" s="2" t="n"/>
      <c r="C7" t="inlineStr">
        <is>
          <t>Sin precio en pantalla (probablemente gratis)</t>
        </is>
      </c>
    </row>
    <row r="8">
      <c r="A8" t="inlineStr">
        <is>
          <t>Leche natural</t>
        </is>
      </c>
      <c r="B8" s="2" t="n"/>
      <c r="C8" t="inlineStr">
        <is>
          <t>Sin precio en pantalla (probablemente gratis)</t>
        </is>
      </c>
    </row>
    <row r="9">
      <c r="A9" t="inlineStr">
        <is>
          <t>Café corto Albert</t>
        </is>
      </c>
      <c r="B9" s="2" t="n"/>
      <c r="C9" t="inlineStr">
        <is>
          <t>Sin precio en pantalla (probablemente gratis)</t>
        </is>
      </c>
    </row>
    <row r="10">
      <c r="A10" t="inlineStr">
        <is>
          <t>Hielo</t>
        </is>
      </c>
      <c r="B10" s="2" t="n">
        <v>0.2</v>
      </c>
      <c r="C10" t="inlineStr"/>
    </row>
    <row r="11">
      <c r="A11" t="inlineStr">
        <is>
          <t>Con sacarina</t>
        </is>
      </c>
      <c r="B11" s="2" t="n"/>
      <c r="C11" t="inlineStr">
        <is>
          <t>Sin precio en pantalla (probablemente gratis)</t>
        </is>
      </c>
    </row>
    <row r="12">
      <c r="A12" t="inlineStr">
        <is>
          <t>Sin espuma</t>
        </is>
      </c>
      <c r="B12" s="2" t="n"/>
      <c r="C12" t="inlineStr">
        <is>
          <t>Sin precio en pantalla (probablemente gratis)</t>
        </is>
      </c>
    </row>
    <row r="13">
      <c r="A13" t="inlineStr">
        <is>
          <t>Con espuma</t>
        </is>
      </c>
      <c r="B13" s="2" t="n"/>
      <c r="C13" t="inlineStr">
        <is>
          <t>Sin precio en pantalla (probablemente gratis)</t>
        </is>
      </c>
    </row>
    <row r="14">
      <c r="A14" s="3" t="inlineStr">
        <is>
          <t>Doble hielo</t>
        </is>
      </c>
      <c r="B14" s="4" t="n">
        <v>0.3</v>
      </c>
      <c r="C14" s="3" t="inlineStr">
        <is>
          <t>Revisar: precio poco claro en la foto (podría ser de 'Con azúcar moreno')</t>
        </is>
      </c>
    </row>
    <row r="15">
      <c r="A15" t="inlineStr">
        <is>
          <t>Con azúcar moreno</t>
        </is>
      </c>
      <c r="B15" s="2" t="n"/>
      <c r="C15" t="inlineStr">
        <is>
          <t>Sin precio en pantalla (probablemente gratis)</t>
        </is>
      </c>
    </row>
    <row r="16">
      <c r="A16" t="inlineStr">
        <is>
          <t>Corto</t>
        </is>
      </c>
      <c r="B16" s="2" t="n"/>
      <c r="C16" t="inlineStr">
        <is>
          <t>Sin precio en pantalla (probablemente gratis)</t>
        </is>
      </c>
    </row>
    <row r="17">
      <c r="A17" t="inlineStr">
        <is>
          <t>Largo</t>
        </is>
      </c>
      <c r="B17" s="2" t="n"/>
      <c r="C17" t="inlineStr">
        <is>
          <t>Sin precio en pantalla (probablemente gratis)</t>
        </is>
      </c>
    </row>
    <row r="18">
      <c r="A18" t="inlineStr">
        <is>
          <t>Vaso</t>
        </is>
      </c>
      <c r="B18" s="2" t="n"/>
      <c r="C18" t="inlineStr">
        <is>
          <t>Sin precio en pantalla (probablemente gratis)</t>
        </is>
      </c>
    </row>
    <row r="19">
      <c r="A19" t="inlineStr">
        <is>
          <t>Leche de avena</t>
        </is>
      </c>
      <c r="B19" s="2" t="n">
        <v>0.2</v>
      </c>
      <c r="C19" t="inlineStr"/>
    </row>
    <row r="20">
      <c r="A20" t="inlineStr">
        <is>
          <t>Leche desnatada</t>
        </is>
      </c>
      <c r="B20" s="2" t="n">
        <v>0.2</v>
      </c>
      <c r="C20" t="inlineStr"/>
    </row>
    <row r="21">
      <c r="A21" t="inlineStr">
        <is>
          <t>Corazón</t>
        </is>
      </c>
      <c r="B21" s="2" t="n"/>
      <c r="C21" t="inlineStr">
        <is>
          <t>Sin precio en pantalla (probablemente gratis)</t>
        </is>
      </c>
    </row>
  </sheetData>
  <autoFilter ref="A1:C21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46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28" customWidth="1" min="2" max="2"/>
    <col width="48" customWidth="1" min="3" max="3"/>
    <col width="13" customWidth="1" min="4" max="4"/>
    <col width="22" customWidth="1" min="5" max="5"/>
    <col width="62" customWidth="1" min="6" max="6"/>
  </cols>
  <sheetData>
    <row r="1">
      <c r="A1" s="1" t="inlineStr">
        <is>
          <t>Código</t>
        </is>
      </c>
      <c r="B1" s="1" t="inlineStr">
        <is>
          <t>Categoría</t>
        </is>
      </c>
      <c r="C1" s="1" t="inlineStr">
        <is>
          <t>Nombre</t>
        </is>
      </c>
      <c r="D1" s="1" t="inlineStr">
        <is>
          <t>Tarifa 1 (€)</t>
        </is>
      </c>
      <c r="E1" s="1" t="inlineStr">
        <is>
          <t>Tarifa 2 - Terraza (€)</t>
        </is>
      </c>
      <c r="F1" s="1" t="inlineStr">
        <is>
          <t>Nota</t>
        </is>
      </c>
    </row>
    <row r="2">
      <c r="A2" t="n">
        <v>1</v>
      </c>
      <c r="B2" t="inlineStr">
        <is>
          <t>Bocadillos</t>
        </is>
      </c>
      <c r="C2" t="inlineStr">
        <is>
          <t>Bikini sobrasada</t>
        </is>
      </c>
      <c r="D2" s="2" t="n">
        <v>3.35</v>
      </c>
      <c r="E2" s="2">
        <f>IF(D2="","",D2+0.2)</f>
        <v>3.55</v>
      </c>
      <c r="F2" t="inlineStr"/>
    </row>
    <row r="3">
      <c r="A3" s="3" t="n">
        <v>2</v>
      </c>
      <c r="B3" s="3" t="inlineStr">
        <is>
          <t>Bocadillos</t>
        </is>
      </c>
      <c r="C3" s="3" t="inlineStr">
        <is>
          <t>Bikini P. país</t>
        </is>
      </c>
      <c r="D3" s="4" t="n">
        <v>3.35</v>
      </c>
      <c r="E3" s="4">
        <f>IF(D3="","",D3+0.2)</f>
        <v>3.55</v>
      </c>
      <c r="F3" s="3" t="inlineStr">
        <is>
          <t>Revisar: 'P. país' en la tarifa, no sé si es pa de pagès o pernil del país</t>
        </is>
      </c>
    </row>
    <row r="4">
      <c r="A4" t="n">
        <v>3</v>
      </c>
      <c r="B4" t="inlineStr">
        <is>
          <t>Bocadillos</t>
        </is>
      </c>
      <c r="C4" t="inlineStr">
        <is>
          <t>Bikini jamón dulce</t>
        </is>
      </c>
      <c r="D4" s="2" t="n">
        <v>3.1</v>
      </c>
      <c r="E4" s="2">
        <f>IF(D4="","",D4+0.2)</f>
        <v>3.3</v>
      </c>
      <c r="F4" t="inlineStr"/>
    </row>
    <row r="5">
      <c r="A5" t="n">
        <v>4</v>
      </c>
      <c r="B5" t="inlineStr">
        <is>
          <t>Bocadillos</t>
        </is>
      </c>
      <c r="C5" t="inlineStr">
        <is>
          <t>Bikini especial</t>
        </is>
      </c>
      <c r="D5" s="2" t="n">
        <v>4.5</v>
      </c>
      <c r="E5" s="2">
        <f>IF(D5="","",D5+0.2)</f>
        <v>4.7</v>
      </c>
      <c r="F5" t="inlineStr"/>
    </row>
    <row r="6">
      <c r="A6" t="n">
        <v>5</v>
      </c>
      <c r="B6" t="inlineStr">
        <is>
          <t>Bocadillos</t>
        </is>
      </c>
      <c r="C6" t="inlineStr">
        <is>
          <t>Butifarra flauta</t>
        </is>
      </c>
      <c r="D6" s="2" t="n">
        <v>5.95</v>
      </c>
      <c r="E6" s="2">
        <f>IF(D6="","",D6+0.2)</f>
        <v>6.15</v>
      </c>
      <c r="F6" t="inlineStr"/>
    </row>
    <row r="7">
      <c r="A7" t="n">
        <v>6</v>
      </c>
      <c r="B7" t="inlineStr">
        <is>
          <t>Bocadillos</t>
        </is>
      </c>
      <c r="C7" t="inlineStr">
        <is>
          <t>Butifarra viena</t>
        </is>
      </c>
      <c r="D7" s="2" t="n">
        <v>4.9</v>
      </c>
      <c r="E7" s="2">
        <f>IF(D7="","",D7+0.2)</f>
        <v>5.1</v>
      </c>
      <c r="F7" t="inlineStr"/>
    </row>
    <row r="8">
      <c r="A8" t="n">
        <v>7</v>
      </c>
      <c r="B8" t="inlineStr">
        <is>
          <t>Bocadillos</t>
        </is>
      </c>
      <c r="C8" t="inlineStr">
        <is>
          <t>Butifarra con patatas fritas</t>
        </is>
      </c>
      <c r="D8" s="2" t="n">
        <v>6.2</v>
      </c>
      <c r="E8" s="2">
        <f>IF(D8="","",D8+0.2)</f>
        <v>6.4</v>
      </c>
      <c r="F8" t="inlineStr"/>
    </row>
    <row r="9">
      <c r="A9" t="n">
        <v>8</v>
      </c>
      <c r="B9" t="inlineStr">
        <is>
          <t>Bocadillos</t>
        </is>
      </c>
      <c r="C9" t="inlineStr">
        <is>
          <t>Bratwurst flauta</t>
        </is>
      </c>
      <c r="D9" s="2" t="n">
        <v>5.15</v>
      </c>
      <c r="E9" s="2">
        <f>IF(D9="","",D9+0.2)</f>
        <v>5.35</v>
      </c>
      <c r="F9" t="inlineStr"/>
    </row>
    <row r="10">
      <c r="A10" t="n">
        <v>9</v>
      </c>
      <c r="B10" t="inlineStr">
        <is>
          <t>Bocadillos</t>
        </is>
      </c>
      <c r="C10" t="inlineStr">
        <is>
          <t>Bratwurst viena</t>
        </is>
      </c>
      <c r="D10" s="2" t="n">
        <v>4.55</v>
      </c>
      <c r="E10" s="2">
        <f>IF(D10="","",D10+0.2)</f>
        <v>4.75</v>
      </c>
      <c r="F10" t="inlineStr"/>
    </row>
    <row r="11">
      <c r="A11" t="n">
        <v>10</v>
      </c>
      <c r="B11" t="inlineStr">
        <is>
          <t>Bocadillos</t>
        </is>
      </c>
      <c r="C11" t="inlineStr">
        <is>
          <t>Cervela flauta</t>
        </is>
      </c>
      <c r="D11" s="2" t="n">
        <v>5.15</v>
      </c>
      <c r="E11" s="2">
        <f>IF(D11="","",D11+0.2)</f>
        <v>5.35</v>
      </c>
      <c r="F11" t="inlineStr"/>
    </row>
    <row r="12">
      <c r="A12" t="n">
        <v>11</v>
      </c>
      <c r="B12" t="inlineStr">
        <is>
          <t>Bocadillos</t>
        </is>
      </c>
      <c r="C12" t="inlineStr">
        <is>
          <t>Cervela viena</t>
        </is>
      </c>
      <c r="D12" s="2" t="n">
        <v>4.65</v>
      </c>
      <c r="E12" s="2">
        <f>IF(D12="","",D12+0.2)</f>
        <v>4.85</v>
      </c>
      <c r="F12" t="inlineStr"/>
    </row>
    <row r="13">
      <c r="A13" t="n">
        <v>12</v>
      </c>
      <c r="B13" t="inlineStr">
        <is>
          <t>Bocadillos</t>
        </is>
      </c>
      <c r="C13" t="inlineStr">
        <is>
          <t>Cansalada flauta</t>
        </is>
      </c>
      <c r="D13" s="2" t="n">
        <v>5.35</v>
      </c>
      <c r="E13" s="2">
        <f>IF(D13="","",D13+0.2)</f>
        <v>5.55</v>
      </c>
      <c r="F13" t="inlineStr"/>
    </row>
    <row r="14">
      <c r="A14" t="n">
        <v>13</v>
      </c>
      <c r="B14" t="inlineStr">
        <is>
          <t>Bocadillos</t>
        </is>
      </c>
      <c r="C14" t="inlineStr">
        <is>
          <t>Cansalada viena</t>
        </is>
      </c>
      <c r="D14" s="2" t="n">
        <v>4.55</v>
      </c>
      <c r="E14" s="2">
        <f>IF(D14="","",D14+0.2)</f>
        <v>4.75</v>
      </c>
      <c r="F14" t="inlineStr"/>
    </row>
    <row r="15">
      <c r="A15" t="n">
        <v>14</v>
      </c>
      <c r="B15" t="inlineStr">
        <is>
          <t>Bocadillos</t>
        </is>
      </c>
      <c r="C15" t="inlineStr">
        <is>
          <t>Bacon flauta</t>
        </is>
      </c>
      <c r="D15" s="2" t="n">
        <v>5.35</v>
      </c>
      <c r="E15" s="2">
        <f>IF(D15="","",D15+0.2)</f>
        <v>5.55</v>
      </c>
      <c r="F15" t="inlineStr"/>
    </row>
    <row r="16">
      <c r="A16" t="n">
        <v>15</v>
      </c>
      <c r="B16" t="inlineStr">
        <is>
          <t>Bocadillos</t>
        </is>
      </c>
      <c r="C16" t="inlineStr">
        <is>
          <t>Bacon viena</t>
        </is>
      </c>
      <c r="D16" s="2" t="n">
        <v>4.55</v>
      </c>
      <c r="E16" s="2">
        <f>IF(D16="","",D16+0.2)</f>
        <v>4.75</v>
      </c>
      <c r="F16" t="inlineStr"/>
    </row>
    <row r="17">
      <c r="A17" t="n">
        <v>16</v>
      </c>
      <c r="B17" t="inlineStr">
        <is>
          <t>Bocadillos</t>
        </is>
      </c>
      <c r="C17" t="inlineStr">
        <is>
          <t>Frankfurt flauta</t>
        </is>
      </c>
      <c r="D17" s="2" t="n">
        <v>4.75</v>
      </c>
      <c r="E17" s="2">
        <f>IF(D17="","",D17+0.2)</f>
        <v>4.95</v>
      </c>
      <c r="F17" t="inlineStr"/>
    </row>
    <row r="18">
      <c r="A18" t="n">
        <v>17</v>
      </c>
      <c r="B18" t="inlineStr">
        <is>
          <t>Bocadillos</t>
        </is>
      </c>
      <c r="C18" t="inlineStr">
        <is>
          <t>Frankfurt viena</t>
        </is>
      </c>
      <c r="D18" s="2" t="n">
        <v>3.75</v>
      </c>
      <c r="E18" s="2">
        <f>IF(D18="","",D18+0.2)</f>
        <v>3.95</v>
      </c>
      <c r="F18" t="inlineStr"/>
    </row>
    <row r="19">
      <c r="A19" t="n">
        <v>18</v>
      </c>
      <c r="B19" t="inlineStr">
        <is>
          <t>Bocadillos</t>
        </is>
      </c>
      <c r="C19" t="inlineStr">
        <is>
          <t>Frankfurt al plato con patatas fritas</t>
        </is>
      </c>
      <c r="D19" s="2" t="n">
        <v>5.95</v>
      </c>
      <c r="E19" s="2">
        <f>IF(D19="","",D19+0.2)</f>
        <v>6.15</v>
      </c>
      <c r="F19" t="inlineStr"/>
    </row>
    <row r="20">
      <c r="A20" t="n">
        <v>19</v>
      </c>
      <c r="B20" t="inlineStr">
        <is>
          <t>Bocadillos</t>
        </is>
      </c>
      <c r="C20" t="inlineStr">
        <is>
          <t>Frankfurt doble viena</t>
        </is>
      </c>
      <c r="D20" s="2" t="n">
        <v>4.85</v>
      </c>
      <c r="E20" s="2">
        <f>IF(D20="","",D20+0.2)</f>
        <v>5.05</v>
      </c>
      <c r="F20" t="inlineStr"/>
    </row>
    <row r="21">
      <c r="A21" t="n">
        <v>20</v>
      </c>
      <c r="B21" t="inlineStr">
        <is>
          <t>Bocadillos</t>
        </is>
      </c>
      <c r="C21" t="inlineStr">
        <is>
          <t>Frankfurt doble flauta</t>
        </is>
      </c>
      <c r="D21" s="2" t="n">
        <v>6.2</v>
      </c>
      <c r="E21" s="2">
        <f>IF(D21="","",D21+0.2)</f>
        <v>6.4</v>
      </c>
      <c r="F21" t="inlineStr"/>
    </row>
    <row r="22">
      <c r="A22" t="n">
        <v>21</v>
      </c>
      <c r="B22" t="inlineStr">
        <is>
          <t>Bocadillos</t>
        </is>
      </c>
      <c r="C22" t="inlineStr">
        <is>
          <t>Viena frankfurt vegano</t>
        </is>
      </c>
      <c r="D22" s="2" t="n">
        <v>4.65</v>
      </c>
      <c r="E22" s="2">
        <f>IF(D22="","",D22+0.2)</f>
        <v>4.85</v>
      </c>
      <c r="F22" t="inlineStr"/>
    </row>
    <row r="23">
      <c r="A23" t="n">
        <v>22</v>
      </c>
      <c r="B23" t="inlineStr">
        <is>
          <t>Bocadillos</t>
        </is>
      </c>
      <c r="C23" t="inlineStr">
        <is>
          <t>Flauta frankfurt vegano</t>
        </is>
      </c>
      <c r="D23" s="2" t="n">
        <v>5.65</v>
      </c>
      <c r="E23" s="2">
        <f>IF(D23="","",D23+0.2)</f>
        <v>5.85</v>
      </c>
      <c r="F23" t="inlineStr"/>
    </row>
    <row r="24">
      <c r="A24" t="n">
        <v>23</v>
      </c>
      <c r="B24" t="inlineStr">
        <is>
          <t>Bocadillos</t>
        </is>
      </c>
      <c r="C24" t="inlineStr">
        <is>
          <t>Hamburguesa flauta</t>
        </is>
      </c>
      <c r="D24" s="2" t="n">
        <v>5.1</v>
      </c>
      <c r="E24" s="2">
        <f>IF(D24="","",D24+0.2)</f>
        <v>5.3</v>
      </c>
      <c r="F24" t="inlineStr"/>
    </row>
    <row r="25">
      <c r="A25" t="n">
        <v>24</v>
      </c>
      <c r="B25" t="inlineStr">
        <is>
          <t>Bocadillos</t>
        </is>
      </c>
      <c r="C25" t="inlineStr">
        <is>
          <t>Hamburguesa viena</t>
        </is>
      </c>
      <c r="D25" s="2" t="n">
        <v>4.45</v>
      </c>
      <c r="E25" s="2">
        <f>IF(D25="","",D25+0.2)</f>
        <v>4.65</v>
      </c>
      <c r="F25" t="inlineStr"/>
    </row>
    <row r="26">
      <c r="A26" t="n">
        <v>25</v>
      </c>
      <c r="B26" t="inlineStr">
        <is>
          <t>Bocadillos</t>
        </is>
      </c>
      <c r="C26" t="inlineStr">
        <is>
          <t>Hamburguesa picante flauta</t>
        </is>
      </c>
      <c r="D26" s="2" t="n">
        <v>5.65</v>
      </c>
      <c r="E26" s="2">
        <f>IF(D26="","",D26+0.2)</f>
        <v>5.85</v>
      </c>
      <c r="F26" t="inlineStr"/>
    </row>
    <row r="27">
      <c r="A27" t="n">
        <v>26</v>
      </c>
      <c r="B27" t="inlineStr">
        <is>
          <t>Bocadillos</t>
        </is>
      </c>
      <c r="C27" t="inlineStr">
        <is>
          <t>Hamburguesa picante viena</t>
        </is>
      </c>
      <c r="D27" s="2" t="n">
        <v>4.65</v>
      </c>
      <c r="E27" s="2">
        <f>IF(D27="","",D27+0.2)</f>
        <v>4.85</v>
      </c>
      <c r="F27" t="inlineStr"/>
    </row>
    <row r="28">
      <c r="A28" t="n">
        <v>27</v>
      </c>
      <c r="B28" t="inlineStr">
        <is>
          <t>Bocadillos</t>
        </is>
      </c>
      <c r="C28" t="inlineStr">
        <is>
          <t>Hamburguesa moruna flauta</t>
        </is>
      </c>
      <c r="D28" s="2" t="n">
        <v>5.65</v>
      </c>
      <c r="E28" s="2">
        <f>IF(D28="","",D28+0.2)</f>
        <v>5.85</v>
      </c>
      <c r="F28" t="inlineStr"/>
    </row>
    <row r="29">
      <c r="A29" t="n">
        <v>28</v>
      </c>
      <c r="B29" t="inlineStr">
        <is>
          <t>Bocadillos</t>
        </is>
      </c>
      <c r="C29" t="inlineStr">
        <is>
          <t>Hamburguesa moruna viena</t>
        </is>
      </c>
      <c r="D29" s="2" t="n">
        <v>4.65</v>
      </c>
      <c r="E29" s="2">
        <f>IF(D29="","",D29+0.2)</f>
        <v>4.85</v>
      </c>
      <c r="F29" t="inlineStr"/>
    </row>
    <row r="30">
      <c r="A30" t="n">
        <v>29</v>
      </c>
      <c r="B30" t="inlineStr">
        <is>
          <t>Bocadillos</t>
        </is>
      </c>
      <c r="C30" t="inlineStr">
        <is>
          <t>Flauta burger vegana</t>
        </is>
      </c>
      <c r="D30" s="2" t="n">
        <v>5.65</v>
      </c>
      <c r="E30" s="2">
        <f>IF(D30="","",D30+0.2)</f>
        <v>5.85</v>
      </c>
      <c r="F30" t="inlineStr"/>
    </row>
    <row r="31">
      <c r="A31" t="n">
        <v>30</v>
      </c>
      <c r="B31" t="inlineStr">
        <is>
          <t>Bocadillos</t>
        </is>
      </c>
      <c r="C31" t="inlineStr">
        <is>
          <t>Viena burger vegana</t>
        </is>
      </c>
      <c r="D31" s="2" t="n">
        <v>4.65</v>
      </c>
      <c r="E31" s="2">
        <f>IF(D31="","",D31+0.2)</f>
        <v>4.85</v>
      </c>
      <c r="F31" t="inlineStr"/>
    </row>
    <row r="32">
      <c r="A32" t="n">
        <v>31</v>
      </c>
      <c r="B32" t="inlineStr">
        <is>
          <t>Bocadillos</t>
        </is>
      </c>
      <c r="C32" t="inlineStr">
        <is>
          <t>Hamburguesa con patatas fritas</t>
        </is>
      </c>
      <c r="D32" s="2" t="n">
        <v>5.95</v>
      </c>
      <c r="E32" s="2">
        <f>IF(D32="","",D32+0.2)</f>
        <v>6.15</v>
      </c>
      <c r="F32" t="inlineStr"/>
    </row>
    <row r="33">
      <c r="A33" t="n">
        <v>32</v>
      </c>
      <c r="B33" t="inlineStr">
        <is>
          <t>Bocadillos</t>
        </is>
      </c>
      <c r="C33" t="inlineStr">
        <is>
          <t>Llom viena</t>
        </is>
      </c>
      <c r="D33" s="2" t="n">
        <v>4.1</v>
      </c>
      <c r="E33" s="2">
        <f>IF(D33="","",D33+0.2)</f>
        <v>4.3</v>
      </c>
      <c r="F33" t="inlineStr"/>
    </row>
    <row r="34">
      <c r="A34" t="n">
        <v>33</v>
      </c>
      <c r="B34" t="inlineStr">
        <is>
          <t>Bocadillos</t>
        </is>
      </c>
      <c r="C34" t="inlineStr">
        <is>
          <t>Llom flauta</t>
        </is>
      </c>
      <c r="D34" s="2" t="n">
        <v>5.35</v>
      </c>
      <c r="E34" s="2">
        <f>IF(D34="","",D34+0.2)</f>
        <v>5.55</v>
      </c>
      <c r="F34" t="inlineStr"/>
    </row>
    <row r="35">
      <c r="A35" t="n">
        <v>34</v>
      </c>
      <c r="B35" t="inlineStr">
        <is>
          <t>Bocadillos</t>
        </is>
      </c>
      <c r="C35" t="inlineStr">
        <is>
          <t>Malaguenya viena</t>
        </is>
      </c>
      <c r="D35" s="2" t="n">
        <v>4.45</v>
      </c>
      <c r="E35" s="2">
        <f>IF(D35="","",D35+0.2)</f>
        <v>4.65</v>
      </c>
      <c r="F35" t="inlineStr"/>
    </row>
    <row r="36">
      <c r="A36" t="n">
        <v>35</v>
      </c>
      <c r="B36" t="inlineStr">
        <is>
          <t>Bocadillos</t>
        </is>
      </c>
      <c r="C36" t="inlineStr">
        <is>
          <t>Malaguenya flauta</t>
        </is>
      </c>
      <c r="D36" s="2" t="n">
        <v>4.85</v>
      </c>
      <c r="E36" s="2">
        <f>IF(D36="","",D36+0.2)</f>
        <v>5.05</v>
      </c>
      <c r="F36" t="inlineStr"/>
    </row>
    <row r="37">
      <c r="A37" t="n">
        <v>36</v>
      </c>
      <c r="B37" t="inlineStr">
        <is>
          <t>Bocadillos</t>
        </is>
      </c>
      <c r="C37" t="inlineStr">
        <is>
          <t>Pollastre viena</t>
        </is>
      </c>
      <c r="D37" s="2" t="n">
        <v>4.3</v>
      </c>
      <c r="E37" s="2">
        <f>IF(D37="","",D37+0.2)</f>
        <v>4.5</v>
      </c>
      <c r="F37" t="inlineStr"/>
    </row>
    <row r="38">
      <c r="A38" t="n">
        <v>37</v>
      </c>
      <c r="B38" t="inlineStr">
        <is>
          <t>Bocadillos</t>
        </is>
      </c>
      <c r="C38" t="inlineStr">
        <is>
          <t>Pollastre flauta</t>
        </is>
      </c>
      <c r="D38" s="2" t="n">
        <v>5.35</v>
      </c>
      <c r="E38" s="2">
        <f>IF(D38="","",D38+0.2)</f>
        <v>5.55</v>
      </c>
      <c r="F38" t="inlineStr"/>
    </row>
    <row r="39">
      <c r="A39" t="n">
        <v>38</v>
      </c>
      <c r="B39" t="inlineStr">
        <is>
          <t>Bocadillos</t>
        </is>
      </c>
      <c r="C39" t="inlineStr">
        <is>
          <t>Pechuga al plato con patatas fritas</t>
        </is>
      </c>
      <c r="D39" s="2" t="n">
        <v>5.95</v>
      </c>
      <c r="E39" s="2">
        <f>IF(D39="","",D39+0.2)</f>
        <v>6.15</v>
      </c>
      <c r="F39" t="inlineStr"/>
    </row>
    <row r="40">
      <c r="A40" t="n">
        <v>39</v>
      </c>
      <c r="B40" t="inlineStr">
        <is>
          <t>Bocadillos</t>
        </is>
      </c>
      <c r="C40" t="inlineStr">
        <is>
          <t>Pinchos viena</t>
        </is>
      </c>
      <c r="D40" s="2" t="n">
        <v>5.45</v>
      </c>
      <c r="E40" s="2">
        <f>IF(D40="","",D40+0.2)</f>
        <v>5.65</v>
      </c>
      <c r="F40" t="inlineStr"/>
    </row>
    <row r="41">
      <c r="A41" t="n">
        <v>40</v>
      </c>
      <c r="B41" t="inlineStr">
        <is>
          <t>Bocadillos</t>
        </is>
      </c>
      <c r="C41" t="inlineStr">
        <is>
          <t>Pinchos flauta</t>
        </is>
      </c>
      <c r="D41" s="2" t="n">
        <v>6.45</v>
      </c>
      <c r="E41" s="2">
        <f>IF(D41="","",D41+0.2)</f>
        <v>6.65</v>
      </c>
      <c r="F41" t="inlineStr"/>
    </row>
    <row r="42">
      <c r="A42" t="n">
        <v>41</v>
      </c>
      <c r="B42" t="inlineStr">
        <is>
          <t>Bocadillos</t>
        </is>
      </c>
      <c r="C42" t="inlineStr">
        <is>
          <t>Pikantwurst viena</t>
        </is>
      </c>
      <c r="D42" s="2" t="n">
        <v>4.25</v>
      </c>
      <c r="E42" s="2">
        <f>IF(D42="","",D42+0.2)</f>
        <v>4.45</v>
      </c>
      <c r="F42" t="inlineStr"/>
    </row>
    <row r="43">
      <c r="A43" t="n">
        <v>42</v>
      </c>
      <c r="B43" t="inlineStr">
        <is>
          <t>Bocadillos</t>
        </is>
      </c>
      <c r="C43" t="inlineStr">
        <is>
          <t>Pikantwurst flauta</t>
        </is>
      </c>
      <c r="D43" s="2" t="n">
        <v>5.45</v>
      </c>
      <c r="E43" s="2">
        <f>IF(D43="","",D43+0.2)</f>
        <v>5.65</v>
      </c>
      <c r="F43" t="inlineStr"/>
    </row>
    <row r="44">
      <c r="A44" t="n">
        <v>43</v>
      </c>
      <c r="B44" t="inlineStr">
        <is>
          <t>Bocadillos</t>
        </is>
      </c>
      <c r="C44" t="inlineStr">
        <is>
          <t>Flauta sobrasada</t>
        </is>
      </c>
      <c r="D44" s="2" t="n">
        <v>4.95</v>
      </c>
      <c r="E44" s="2">
        <f>IF(D44="","",D44+0.2)</f>
        <v>5.15</v>
      </c>
      <c r="F44" t="inlineStr"/>
    </row>
    <row r="45">
      <c r="A45" t="n">
        <v>44</v>
      </c>
      <c r="B45" t="inlineStr">
        <is>
          <t>Bocadillos</t>
        </is>
      </c>
      <c r="C45" t="inlineStr">
        <is>
          <t>Viena sobrasada</t>
        </is>
      </c>
      <c r="D45" s="2" t="n">
        <v>4.25</v>
      </c>
      <c r="E45" s="2">
        <f>IF(D45="","",D45+0.2)</f>
        <v>4.45</v>
      </c>
      <c r="F45" t="inlineStr"/>
    </row>
    <row r="46">
      <c r="A46" t="n">
        <v>45</v>
      </c>
      <c r="B46" t="inlineStr">
        <is>
          <t>Bocadillos</t>
        </is>
      </c>
      <c r="C46" t="inlineStr">
        <is>
          <t>Salsitxa del país flauta</t>
        </is>
      </c>
      <c r="D46" s="2" t="n">
        <v>4.85</v>
      </c>
      <c r="E46" s="2">
        <f>IF(D46="","",D46+0.2)</f>
        <v>5.05</v>
      </c>
      <c r="F46" t="inlineStr"/>
    </row>
    <row r="47">
      <c r="A47" t="n">
        <v>46</v>
      </c>
      <c r="B47" t="inlineStr">
        <is>
          <t>Bocadillos</t>
        </is>
      </c>
      <c r="C47" t="inlineStr">
        <is>
          <t>Salsitxa del país viena</t>
        </is>
      </c>
      <c r="D47" s="2" t="n">
        <v>3.95</v>
      </c>
      <c r="E47" s="2">
        <f>IF(D47="","",D47+0.2)</f>
        <v>4.15</v>
      </c>
      <c r="F47" t="inlineStr"/>
    </row>
    <row r="48">
      <c r="A48" t="n">
        <v>47</v>
      </c>
      <c r="B48" t="inlineStr">
        <is>
          <t>Bocadillos</t>
        </is>
      </c>
      <c r="C48" t="inlineStr">
        <is>
          <t>Truita viena</t>
        </is>
      </c>
      <c r="D48" s="2" t="n">
        <v>4.15</v>
      </c>
      <c r="E48" s="2">
        <f>IF(D48="","",D48+0.2)</f>
        <v>4.35</v>
      </c>
      <c r="F48" t="inlineStr"/>
    </row>
    <row r="49">
      <c r="A49" t="n">
        <v>48</v>
      </c>
      <c r="B49" t="inlineStr">
        <is>
          <t>Bocadillos</t>
        </is>
      </c>
      <c r="C49" t="inlineStr">
        <is>
          <t>Truita flauta</t>
        </is>
      </c>
      <c r="D49" s="2" t="n">
        <v>5.15</v>
      </c>
      <c r="E49" s="2">
        <f>IF(D49="","",D49+0.2)</f>
        <v>5.35</v>
      </c>
      <c r="F49" t="inlineStr"/>
    </row>
    <row r="50">
      <c r="A50" t="n">
        <v>49</v>
      </c>
      <c r="B50" t="inlineStr">
        <is>
          <t>Bocadillos</t>
        </is>
      </c>
      <c r="C50" t="inlineStr">
        <is>
          <t>Vedella flauta</t>
        </is>
      </c>
      <c r="D50" s="2" t="n">
        <v>5.25</v>
      </c>
      <c r="E50" s="2">
        <f>IF(D50="","",D50+0.2)</f>
        <v>5.45</v>
      </c>
      <c r="F50" t="inlineStr"/>
    </row>
    <row r="51">
      <c r="A51" t="n">
        <v>50</v>
      </c>
      <c r="B51" t="inlineStr">
        <is>
          <t>Bocadillos</t>
        </is>
      </c>
      <c r="C51" t="inlineStr">
        <is>
          <t>Vedella viena</t>
        </is>
      </c>
      <c r="D51" s="2" t="n">
        <v>4.25</v>
      </c>
      <c r="E51" s="2">
        <f>IF(D51="","",D51+0.2)</f>
        <v>4.45</v>
      </c>
      <c r="F51" t="inlineStr"/>
    </row>
    <row r="52">
      <c r="A52" t="n">
        <v>51</v>
      </c>
      <c r="B52" t="inlineStr">
        <is>
          <t>Bocadillos</t>
        </is>
      </c>
      <c r="C52" t="inlineStr">
        <is>
          <t>Xistorra flauta</t>
        </is>
      </c>
      <c r="D52" s="2" t="n">
        <v>4.9</v>
      </c>
      <c r="E52" s="2">
        <f>IF(D52="","",D52+0.2)</f>
        <v>5.1</v>
      </c>
      <c r="F52" t="inlineStr"/>
    </row>
    <row r="53">
      <c r="A53" t="n">
        <v>52</v>
      </c>
      <c r="B53" t="inlineStr">
        <is>
          <t>Bocadillos</t>
        </is>
      </c>
      <c r="C53" t="inlineStr">
        <is>
          <t>Xistorra viena</t>
        </is>
      </c>
      <c r="D53" s="2" t="n">
        <v>3.95</v>
      </c>
      <c r="E53" s="2">
        <f>IF(D53="","",D53+0.2)</f>
        <v>4.15</v>
      </c>
      <c r="F53" t="inlineStr"/>
    </row>
    <row r="54">
      <c r="A54" t="n">
        <v>53</v>
      </c>
      <c r="B54" t="inlineStr">
        <is>
          <t>Bocadillos</t>
        </is>
      </c>
      <c r="C54" t="inlineStr">
        <is>
          <t>Flauta Javi</t>
        </is>
      </c>
      <c r="D54" s="2" t="n">
        <v>5.1</v>
      </c>
      <c r="E54" s="2">
        <f>IF(D54="","",D54+0.2)</f>
        <v>5.3</v>
      </c>
      <c r="F54" t="inlineStr"/>
    </row>
    <row r="55">
      <c r="A55" t="n">
        <v>54</v>
      </c>
      <c r="B55" t="inlineStr">
        <is>
          <t>Bocadillos</t>
        </is>
      </c>
      <c r="C55" t="inlineStr">
        <is>
          <t>Huevo al plato</t>
        </is>
      </c>
      <c r="D55" s="2" t="n">
        <v>1.5</v>
      </c>
      <c r="E55" s="2">
        <f>IF(D55="","",D55+0.2)</f>
        <v>1.7</v>
      </c>
      <c r="F55" t="inlineStr"/>
    </row>
    <row r="56">
      <c r="A56" t="n">
        <v>55</v>
      </c>
      <c r="B56" t="inlineStr">
        <is>
          <t>Bocadillos</t>
        </is>
      </c>
      <c r="C56" t="inlineStr">
        <is>
          <t>Tirolesa del Vallès viena</t>
        </is>
      </c>
      <c r="D56" s="2" t="n">
        <v>4.65</v>
      </c>
      <c r="E56" s="2">
        <f>IF(D56="","",D56+0.2)</f>
        <v>4.85</v>
      </c>
      <c r="F56" t="inlineStr"/>
    </row>
    <row r="57">
      <c r="A57" t="n">
        <v>56</v>
      </c>
      <c r="B57" t="inlineStr">
        <is>
          <t>Bocadillos</t>
        </is>
      </c>
      <c r="C57" t="inlineStr">
        <is>
          <t>Tirolesa del Vallès flauta</t>
        </is>
      </c>
      <c r="D57" s="2" t="n">
        <v>5.1</v>
      </c>
      <c r="E57" s="2">
        <f>IF(D57="","",D57+0.2)</f>
        <v>5.3</v>
      </c>
      <c r="F57" t="inlineStr"/>
    </row>
    <row r="58">
      <c r="A58" t="n">
        <v>57</v>
      </c>
      <c r="B58" t="inlineStr">
        <is>
          <t>Bocadillos</t>
        </is>
      </c>
      <c r="C58" t="inlineStr">
        <is>
          <t>Frankfurt al plato</t>
        </is>
      </c>
      <c r="D58" s="2" t="n">
        <v>3.05</v>
      </c>
      <c r="E58" s="2">
        <f>IF(D58="","",D58+0.2)</f>
        <v>3.25</v>
      </c>
      <c r="F58" t="inlineStr"/>
    </row>
    <row r="59">
      <c r="A59" t="n">
        <v>58</v>
      </c>
      <c r="B59" t="inlineStr">
        <is>
          <t>Bocadillos</t>
        </is>
      </c>
      <c r="C59" t="inlineStr">
        <is>
          <t>Hamburguesa al plato</t>
        </is>
      </c>
      <c r="D59" s="2" t="n">
        <v>3.05</v>
      </c>
      <c r="E59" s="2">
        <f>IF(D59="","",D59+0.2)</f>
        <v>3.25</v>
      </c>
      <c r="F59" t="inlineStr"/>
    </row>
    <row r="60">
      <c r="A60" t="n">
        <v>59</v>
      </c>
      <c r="B60" t="inlineStr">
        <is>
          <t>Bocadillos</t>
        </is>
      </c>
      <c r="C60" t="inlineStr">
        <is>
          <t>Apetitós viena</t>
        </is>
      </c>
      <c r="D60" s="2" t="n">
        <v>6.55</v>
      </c>
      <c r="E60" s="2">
        <f>IF(D60="","",D60+0.2)</f>
        <v>6.75</v>
      </c>
      <c r="F60" t="inlineStr"/>
    </row>
    <row r="61">
      <c r="A61" t="n">
        <v>60</v>
      </c>
      <c r="B61" t="inlineStr">
        <is>
          <t>Bocadillos</t>
        </is>
      </c>
      <c r="C61" t="inlineStr">
        <is>
          <t>Apetitós flauta</t>
        </is>
      </c>
      <c r="D61" s="2" t="n">
        <v>7.25</v>
      </c>
      <c r="E61" s="2">
        <f>IF(D61="","",D61+0.2)</f>
        <v>7.45</v>
      </c>
      <c r="F61" t="inlineStr"/>
    </row>
    <row r="62">
      <c r="A62" t="n">
        <v>61</v>
      </c>
      <c r="B62" t="inlineStr">
        <is>
          <t>Bocadillos</t>
        </is>
      </c>
      <c r="C62" t="inlineStr">
        <is>
          <t>Bomba viena</t>
        </is>
      </c>
      <c r="D62" s="2" t="n">
        <v>6.95</v>
      </c>
      <c r="E62" s="2">
        <f>IF(D62="","",D62+0.2)</f>
        <v>7.15</v>
      </c>
      <c r="F62" t="inlineStr"/>
    </row>
    <row r="63">
      <c r="A63" t="n">
        <v>62</v>
      </c>
      <c r="B63" t="inlineStr">
        <is>
          <t>Bocadillos</t>
        </is>
      </c>
      <c r="C63" t="inlineStr">
        <is>
          <t>Bomba flauta</t>
        </is>
      </c>
      <c r="D63" s="2" t="n">
        <v>7.95</v>
      </c>
      <c r="E63" s="2">
        <f>IF(D63="","",D63+0.2)</f>
        <v>8.15</v>
      </c>
      <c r="F63" t="inlineStr"/>
    </row>
    <row r="64">
      <c r="A64" t="n">
        <v>63</v>
      </c>
      <c r="B64" t="inlineStr">
        <is>
          <t>Bocadillos</t>
        </is>
      </c>
      <c r="C64" t="inlineStr">
        <is>
          <t>Capritx viena</t>
        </is>
      </c>
      <c r="D64" s="2" t="n">
        <v>5.65</v>
      </c>
      <c r="E64" s="2">
        <f>IF(D64="","",D64+0.2)</f>
        <v>5.85</v>
      </c>
      <c r="F64" t="inlineStr"/>
    </row>
    <row r="65">
      <c r="A65" t="n">
        <v>64</v>
      </c>
      <c r="B65" t="inlineStr">
        <is>
          <t>Bocadillos</t>
        </is>
      </c>
      <c r="C65" t="inlineStr">
        <is>
          <t>Capritx flauta</t>
        </is>
      </c>
      <c r="D65" s="2" t="n">
        <v>6.85</v>
      </c>
      <c r="E65" s="2">
        <f>IF(D65="","",D65+0.2)</f>
        <v>7.05</v>
      </c>
      <c r="F65" t="inlineStr"/>
    </row>
    <row r="66">
      <c r="A66" t="n">
        <v>65</v>
      </c>
      <c r="B66" t="inlineStr">
        <is>
          <t>Bocadillos</t>
        </is>
      </c>
      <c r="C66" t="inlineStr">
        <is>
          <t>Milanesa viena</t>
        </is>
      </c>
      <c r="D66" s="2" t="n">
        <v>5.85</v>
      </c>
      <c r="E66" s="2">
        <f>IF(D66="","",D66+0.2)</f>
        <v>6.05</v>
      </c>
      <c r="F66" t="inlineStr"/>
    </row>
    <row r="67">
      <c r="A67" t="n">
        <v>66</v>
      </c>
      <c r="B67" t="inlineStr">
        <is>
          <t>Bocadillos</t>
        </is>
      </c>
      <c r="C67" t="inlineStr">
        <is>
          <t>Milanesa flauta</t>
        </is>
      </c>
      <c r="D67" s="2" t="n">
        <v>6.85</v>
      </c>
      <c r="E67" s="2">
        <f>IF(D67="","",D67+0.2)</f>
        <v>7.05</v>
      </c>
      <c r="F67" t="inlineStr"/>
    </row>
    <row r="68">
      <c r="A68" t="n">
        <v>67</v>
      </c>
      <c r="B68" t="inlineStr">
        <is>
          <t>Bocadillos</t>
        </is>
      </c>
      <c r="C68" t="inlineStr">
        <is>
          <t>Tira de pollo viena</t>
        </is>
      </c>
      <c r="D68" s="2" t="n">
        <v>4.65</v>
      </c>
      <c r="E68" s="2">
        <f>IF(D68="","",D68+0.2)</f>
        <v>4.85</v>
      </c>
      <c r="F68" t="inlineStr"/>
    </row>
    <row r="69">
      <c r="A69" t="n">
        <v>68</v>
      </c>
      <c r="B69" t="inlineStr">
        <is>
          <t>Bocadillos</t>
        </is>
      </c>
      <c r="C69" t="inlineStr">
        <is>
          <t>Tira de pollo flauta</t>
        </is>
      </c>
      <c r="D69" s="2" t="n">
        <v>5.45</v>
      </c>
      <c r="E69" s="2">
        <f>IF(D69="","",D69+0.2)</f>
        <v>5.65</v>
      </c>
      <c r="F69" t="inlineStr"/>
    </row>
    <row r="70">
      <c r="A70" t="n">
        <v>69</v>
      </c>
      <c r="B70" t="inlineStr">
        <is>
          <t>Bocadillos</t>
        </is>
      </c>
      <c r="C70" t="inlineStr">
        <is>
          <t>Vegetal viena</t>
        </is>
      </c>
      <c r="D70" s="2" t="n">
        <v>6.8</v>
      </c>
      <c r="E70" s="2">
        <f>IF(D70="","",D70+0.2)</f>
        <v>7.0</v>
      </c>
      <c r="F70" t="inlineStr"/>
    </row>
    <row r="71">
      <c r="A71" t="n">
        <v>70</v>
      </c>
      <c r="B71" t="inlineStr">
        <is>
          <t>Bocadillos</t>
        </is>
      </c>
      <c r="C71" t="inlineStr">
        <is>
          <t>Vegetal flauta</t>
        </is>
      </c>
      <c r="D71" s="2" t="n">
        <v>7.45</v>
      </c>
      <c r="E71" s="2">
        <f>IF(D71="","",D71+0.2)</f>
        <v>7.65</v>
      </c>
      <c r="F71" t="inlineStr"/>
    </row>
    <row r="72">
      <c r="A72" t="n">
        <v>71</v>
      </c>
      <c r="B72" t="inlineStr">
        <is>
          <t>Bocadillos</t>
        </is>
      </c>
      <c r="C72" t="inlineStr">
        <is>
          <t>Porquet flauta</t>
        </is>
      </c>
      <c r="D72" s="2" t="n">
        <v>7.85</v>
      </c>
      <c r="E72" s="2">
        <f>IF(D72="","",D72+0.2)</f>
        <v>8.05</v>
      </c>
      <c r="F72" t="inlineStr"/>
    </row>
    <row r="73">
      <c r="A73" t="n">
        <v>72</v>
      </c>
      <c r="B73" t="inlineStr">
        <is>
          <t>Bocadillos</t>
        </is>
      </c>
      <c r="C73" t="inlineStr">
        <is>
          <t>Porquet viena</t>
        </is>
      </c>
      <c r="D73" s="2" t="n">
        <v>6.85</v>
      </c>
      <c r="E73" s="2">
        <f>IF(D73="","",D73+0.2)</f>
        <v>7.05</v>
      </c>
      <c r="F73" t="inlineStr"/>
    </row>
    <row r="74">
      <c r="A74" t="n">
        <v>73</v>
      </c>
      <c r="B74" t="inlineStr">
        <is>
          <t>Bocadillos</t>
        </is>
      </c>
      <c r="C74" t="inlineStr">
        <is>
          <t>Pimpollo flauta</t>
        </is>
      </c>
      <c r="D74" s="2" t="n">
        <v>7.45</v>
      </c>
      <c r="E74" s="2">
        <f>IF(D74="","",D74+0.2)</f>
        <v>7.65</v>
      </c>
      <c r="F74" t="inlineStr"/>
    </row>
    <row r="75">
      <c r="A75" t="n">
        <v>74</v>
      </c>
      <c r="B75" t="inlineStr">
        <is>
          <t>Bocadillos</t>
        </is>
      </c>
      <c r="C75" t="inlineStr">
        <is>
          <t>Pimpollo viena</t>
        </is>
      </c>
      <c r="D75" s="2" t="n">
        <v>6.45</v>
      </c>
      <c r="E75" s="2">
        <f>IF(D75="","",D75+0.2)</f>
        <v>6.65</v>
      </c>
      <c r="F75" t="inlineStr"/>
    </row>
    <row r="76">
      <c r="A76" t="n">
        <v>75</v>
      </c>
      <c r="B76" t="inlineStr">
        <is>
          <t>Bocadillos</t>
        </is>
      </c>
      <c r="C76" t="inlineStr">
        <is>
          <t>Viena viena</t>
        </is>
      </c>
      <c r="D76" s="2" t="n">
        <v>6.95</v>
      </c>
      <c r="E76" s="2">
        <f>IF(D76="","",D76+0.2)</f>
        <v>7.15</v>
      </c>
      <c r="F76" t="inlineStr"/>
    </row>
    <row r="77">
      <c r="A77" t="n">
        <v>76</v>
      </c>
      <c r="B77" t="inlineStr">
        <is>
          <t>Bocadillos</t>
        </is>
      </c>
      <c r="C77" t="inlineStr">
        <is>
          <t>Viena flauta</t>
        </is>
      </c>
      <c r="D77" s="2" t="n">
        <v>7.95</v>
      </c>
      <c r="E77" s="2">
        <f>IF(D77="","",D77+0.2)</f>
        <v>8.15</v>
      </c>
      <c r="F77" t="inlineStr"/>
    </row>
    <row r="78">
      <c r="A78" t="n">
        <v>77</v>
      </c>
      <c r="B78" t="inlineStr">
        <is>
          <t>Bocadillos</t>
        </is>
      </c>
      <c r="C78" t="inlineStr">
        <is>
          <t>Pepito flauta</t>
        </is>
      </c>
      <c r="D78" s="2" t="n">
        <v>7.55</v>
      </c>
      <c r="E78" s="2">
        <f>IF(D78="","",D78+0.2)</f>
        <v>7.75</v>
      </c>
      <c r="F78" t="inlineStr"/>
    </row>
    <row r="79">
      <c r="A79" t="n">
        <v>78</v>
      </c>
      <c r="B79" t="inlineStr">
        <is>
          <t>Bocadillos</t>
        </is>
      </c>
      <c r="C79" t="inlineStr">
        <is>
          <t>Pepito viena</t>
        </is>
      </c>
      <c r="D79" s="2" t="n">
        <v>6.55</v>
      </c>
      <c r="E79" s="2">
        <f>IF(D79="","",D79+0.2)</f>
        <v>6.75</v>
      </c>
      <c r="F79" t="inlineStr"/>
    </row>
    <row r="80">
      <c r="A80" t="n">
        <v>79</v>
      </c>
      <c r="B80" t="inlineStr">
        <is>
          <t>Bocadillos</t>
        </is>
      </c>
      <c r="C80" t="inlineStr">
        <is>
          <t>Submarí viena</t>
        </is>
      </c>
      <c r="D80" s="2" t="n">
        <v>6.65</v>
      </c>
      <c r="E80" s="2">
        <f>IF(D80="","",D80+0.2)</f>
        <v>6.85</v>
      </c>
      <c r="F80" t="inlineStr"/>
    </row>
    <row r="81">
      <c r="A81" t="n">
        <v>80</v>
      </c>
      <c r="B81" t="inlineStr">
        <is>
          <t>Bocadillos</t>
        </is>
      </c>
      <c r="C81" t="inlineStr">
        <is>
          <t>Submarí flauta</t>
        </is>
      </c>
      <c r="D81" s="2" t="n">
        <v>7.75</v>
      </c>
      <c r="E81" s="2">
        <f>IF(D81="","",D81+0.2)</f>
        <v>7.95</v>
      </c>
      <c r="F81" t="inlineStr"/>
    </row>
    <row r="82">
      <c r="A82" t="n">
        <v>81</v>
      </c>
      <c r="B82" t="inlineStr">
        <is>
          <t>Bocadillos</t>
        </is>
      </c>
      <c r="C82" t="inlineStr">
        <is>
          <t>Basc viena</t>
        </is>
      </c>
      <c r="D82" s="2" t="n">
        <v>4.9</v>
      </c>
      <c r="E82" s="2">
        <f>IF(D82="","",D82+0.2)</f>
        <v>5.1</v>
      </c>
      <c r="F82" t="inlineStr"/>
    </row>
    <row r="83">
      <c r="A83" t="n">
        <v>82</v>
      </c>
      <c r="B83" t="inlineStr">
        <is>
          <t>Bocadillos</t>
        </is>
      </c>
      <c r="C83" t="inlineStr">
        <is>
          <t>Basc flauta</t>
        </is>
      </c>
      <c r="D83" s="2" t="n">
        <v>5.9</v>
      </c>
      <c r="E83" s="2">
        <f>IF(D83="","",D83+0.2)</f>
        <v>6.1</v>
      </c>
      <c r="F83" t="inlineStr"/>
    </row>
    <row r="84">
      <c r="A84" t="n">
        <v>83</v>
      </c>
      <c r="B84" t="inlineStr">
        <is>
          <t>Bocadillos</t>
        </is>
      </c>
      <c r="C84" t="inlineStr">
        <is>
          <t>Mosqueter viena</t>
        </is>
      </c>
      <c r="D84" s="2" t="n">
        <v>4.9</v>
      </c>
      <c r="E84" s="2">
        <f>IF(D84="","",D84+0.2)</f>
        <v>5.1</v>
      </c>
      <c r="F84" t="inlineStr"/>
    </row>
    <row r="85">
      <c r="A85" t="n">
        <v>84</v>
      </c>
      <c r="B85" t="inlineStr">
        <is>
          <t>Bocadillos</t>
        </is>
      </c>
      <c r="C85" t="inlineStr">
        <is>
          <t>Mosqueter flauta</t>
        </is>
      </c>
      <c r="D85" s="2" t="n">
        <v>5.9</v>
      </c>
      <c r="E85" s="2">
        <f>IF(D85="","",D85+0.2)</f>
        <v>6.1</v>
      </c>
      <c r="F85" t="inlineStr"/>
    </row>
    <row r="86">
      <c r="A86" t="n">
        <v>85</v>
      </c>
      <c r="B86" t="inlineStr">
        <is>
          <t>Bocadillos</t>
        </is>
      </c>
      <c r="C86" t="inlineStr">
        <is>
          <t>Viena mosquetero vegano</t>
        </is>
      </c>
      <c r="D86" s="2" t="n">
        <v>4.65</v>
      </c>
      <c r="E86" s="2">
        <f>IF(D86="","",D86+0.2)</f>
        <v>4.85</v>
      </c>
      <c r="F86" t="inlineStr"/>
    </row>
    <row r="87">
      <c r="A87" t="n">
        <v>86</v>
      </c>
      <c r="B87" t="inlineStr">
        <is>
          <t>Bocadillos</t>
        </is>
      </c>
      <c r="C87" t="inlineStr">
        <is>
          <t>Flauta mosquetero vegano</t>
        </is>
      </c>
      <c r="D87" s="2" t="n">
        <v>5.1</v>
      </c>
      <c r="E87" s="2">
        <f>IF(D87="","",D87+0.2)</f>
        <v>5.3</v>
      </c>
      <c r="F87" t="inlineStr"/>
    </row>
    <row r="88">
      <c r="A88" t="n">
        <v>87</v>
      </c>
      <c r="B88" t="inlineStr">
        <is>
          <t>Bocadillos</t>
        </is>
      </c>
      <c r="C88" t="inlineStr">
        <is>
          <t>Flauta jardinera vegana</t>
        </is>
      </c>
      <c r="D88" s="2" t="n">
        <v>7.25</v>
      </c>
      <c r="E88" s="2">
        <f>IF(D88="","",D88+0.2)</f>
        <v>7.45</v>
      </c>
      <c r="F88" t="inlineStr"/>
    </row>
    <row r="89">
      <c r="A89" t="n">
        <v>88</v>
      </c>
      <c r="B89" t="inlineStr">
        <is>
          <t>Bocadillos</t>
        </is>
      </c>
      <c r="C89" t="inlineStr">
        <is>
          <t>Traïdor flauta</t>
        </is>
      </c>
      <c r="D89" s="2" t="n">
        <v>7.9</v>
      </c>
      <c r="E89" s="2">
        <f>IF(D89="","",D89+0.2)</f>
        <v>8.1</v>
      </c>
      <c r="F89" t="inlineStr"/>
    </row>
    <row r="90">
      <c r="A90" t="n">
        <v>89</v>
      </c>
      <c r="B90" t="inlineStr">
        <is>
          <t>Bocadillos</t>
        </is>
      </c>
      <c r="C90" t="inlineStr">
        <is>
          <t>Traïdor viena</t>
        </is>
      </c>
      <c r="D90" s="2" t="n">
        <v>6.9</v>
      </c>
      <c r="E90" s="2">
        <f>IF(D90="","",D90+0.2)</f>
        <v>7.1</v>
      </c>
      <c r="F90" t="inlineStr"/>
    </row>
    <row r="91">
      <c r="A91" t="n">
        <v>90</v>
      </c>
      <c r="B91" t="inlineStr">
        <is>
          <t>Bocadillos</t>
        </is>
      </c>
      <c r="C91" t="inlineStr">
        <is>
          <t>Gumball flauta</t>
        </is>
      </c>
      <c r="D91" s="2" t="n">
        <v>6.75</v>
      </c>
      <c r="E91" s="2">
        <f>IF(D91="","",D91+0.2)</f>
        <v>6.95</v>
      </c>
      <c r="F91" t="inlineStr"/>
    </row>
    <row r="92">
      <c r="A92" t="n">
        <v>91</v>
      </c>
      <c r="B92" t="inlineStr">
        <is>
          <t>Bocadillos</t>
        </is>
      </c>
      <c r="C92" t="inlineStr">
        <is>
          <t>Gumball viena</t>
        </is>
      </c>
      <c r="D92" s="2" t="n">
        <v>5.75</v>
      </c>
      <c r="E92" s="2">
        <f>IF(D92="","",D92+0.2)</f>
        <v>5.95</v>
      </c>
      <c r="F92" t="inlineStr"/>
    </row>
    <row r="93">
      <c r="A93" t="n">
        <v>92</v>
      </c>
      <c r="B93" t="inlineStr">
        <is>
          <t>Bocadillos</t>
        </is>
      </c>
      <c r="C93" t="inlineStr">
        <is>
          <t>Extremeny flauta</t>
        </is>
      </c>
      <c r="D93" s="2" t="n">
        <v>6.95</v>
      </c>
      <c r="E93" s="2">
        <f>IF(D93="","",D93+0.2)</f>
        <v>7.15</v>
      </c>
      <c r="F93" t="inlineStr"/>
    </row>
    <row r="94">
      <c r="A94" t="n">
        <v>93</v>
      </c>
      <c r="B94" t="inlineStr">
        <is>
          <t>Bocadillos</t>
        </is>
      </c>
      <c r="C94" t="inlineStr">
        <is>
          <t>Extremeny viena</t>
        </is>
      </c>
      <c r="D94" s="2" t="n">
        <v>5.95</v>
      </c>
      <c r="E94" s="2">
        <f>IF(D94="","",D94+0.2)</f>
        <v>6.15</v>
      </c>
      <c r="F94" t="inlineStr"/>
    </row>
    <row r="95">
      <c r="A95" t="n">
        <v>94</v>
      </c>
      <c r="B95" t="inlineStr">
        <is>
          <t>Bocadillos</t>
        </is>
      </c>
      <c r="C95" t="inlineStr">
        <is>
          <t>Jardinera flauta</t>
        </is>
      </c>
      <c r="D95" s="2" t="n">
        <v>6.85</v>
      </c>
      <c r="E95" s="2">
        <f>IF(D95="","",D95+0.2)</f>
        <v>7.05</v>
      </c>
      <c r="F95" t="inlineStr"/>
    </row>
    <row r="96">
      <c r="A96" t="n">
        <v>95</v>
      </c>
      <c r="B96" t="inlineStr">
        <is>
          <t>Bocadillos</t>
        </is>
      </c>
      <c r="C96" t="inlineStr">
        <is>
          <t>Jardinera viena</t>
        </is>
      </c>
      <c r="D96" s="2" t="n">
        <v>5.75</v>
      </c>
      <c r="E96" s="2">
        <f>IF(D96="","",D96+0.2)</f>
        <v>5.95</v>
      </c>
      <c r="F96" t="inlineStr"/>
    </row>
    <row r="97">
      <c r="A97" t="n">
        <v>96</v>
      </c>
      <c r="B97" t="inlineStr">
        <is>
          <t>Bocadillos</t>
        </is>
      </c>
      <c r="C97" t="inlineStr">
        <is>
          <t>Viena jardinera vegana</t>
        </is>
      </c>
      <c r="D97" s="2" t="n">
        <v>6.25</v>
      </c>
      <c r="E97" s="2">
        <f>IF(D97="","",D97+0.2)</f>
        <v>6.45</v>
      </c>
      <c r="F97" t="inlineStr"/>
    </row>
    <row r="98">
      <c r="A98" t="n">
        <v>97</v>
      </c>
      <c r="B98" t="inlineStr">
        <is>
          <t>Bocadillos</t>
        </is>
      </c>
      <c r="C98" t="inlineStr">
        <is>
          <t>Rústic flauta</t>
        </is>
      </c>
      <c r="D98" s="2" t="n">
        <v>6.95</v>
      </c>
      <c r="E98" s="2">
        <f>IF(D98="","",D98+0.2)</f>
        <v>7.15</v>
      </c>
      <c r="F98" t="inlineStr"/>
    </row>
    <row r="99">
      <c r="A99" t="n">
        <v>98</v>
      </c>
      <c r="B99" t="inlineStr">
        <is>
          <t>Bocadillos</t>
        </is>
      </c>
      <c r="C99" t="inlineStr">
        <is>
          <t>Madrileny flauta</t>
        </is>
      </c>
      <c r="D99" s="2" t="n">
        <v>6.85</v>
      </c>
      <c r="E99" s="2">
        <f>IF(D99="","",D99+0.2)</f>
        <v>7.05</v>
      </c>
      <c r="F99" t="inlineStr"/>
    </row>
    <row r="100">
      <c r="A100" t="n">
        <v>99</v>
      </c>
      <c r="B100" t="inlineStr">
        <is>
          <t>Bocadillos</t>
        </is>
      </c>
      <c r="C100" t="inlineStr">
        <is>
          <t>Madrileny viena</t>
        </is>
      </c>
      <c r="D100" s="2" t="n">
        <v>5.75</v>
      </c>
      <c r="E100" s="2">
        <f>IF(D100="","",D100+0.2)</f>
        <v>5.95</v>
      </c>
      <c r="F100" t="inlineStr"/>
    </row>
    <row r="101">
      <c r="A101" t="n">
        <v>101</v>
      </c>
      <c r="B101" t="inlineStr">
        <is>
          <t>Bocadillos</t>
        </is>
      </c>
      <c r="C101" t="inlineStr">
        <is>
          <t>Muntanyes flauta</t>
        </is>
      </c>
      <c r="D101" s="2" t="n">
        <v>6.8</v>
      </c>
      <c r="E101" s="2">
        <f>IF(D101="","",D101+0.2)</f>
        <v>7.0</v>
      </c>
      <c r="F101" t="inlineStr"/>
    </row>
    <row r="102">
      <c r="A102" t="n">
        <v>102</v>
      </c>
      <c r="B102" t="inlineStr">
        <is>
          <t>Bocadillos</t>
        </is>
      </c>
      <c r="C102" t="inlineStr">
        <is>
          <t>Muntanyes viena</t>
        </is>
      </c>
      <c r="D102" s="2" t="n">
        <v>5.8</v>
      </c>
      <c r="E102" s="2">
        <f>IF(D102="","",D102+0.2)</f>
        <v>6.0</v>
      </c>
      <c r="F102" t="inlineStr"/>
    </row>
    <row r="103">
      <c r="A103" t="n">
        <v>103</v>
      </c>
      <c r="B103" t="inlineStr">
        <is>
          <t>Bocadillos</t>
        </is>
      </c>
      <c r="C103" t="inlineStr">
        <is>
          <t>Rústic viena</t>
        </is>
      </c>
      <c r="D103" s="2" t="n">
        <v>4.9</v>
      </c>
      <c r="E103" s="2">
        <f>IF(D103="","",D103+0.2)</f>
        <v>5.1</v>
      </c>
      <c r="F103" t="inlineStr"/>
    </row>
    <row r="104">
      <c r="A104" t="n">
        <v>104</v>
      </c>
      <c r="B104" t="inlineStr">
        <is>
          <t>Bocadillos</t>
        </is>
      </c>
      <c r="C104" t="inlineStr">
        <is>
          <t>Felip flauta</t>
        </is>
      </c>
      <c r="D104" s="2" t="n">
        <v>5.1</v>
      </c>
      <c r="E104" s="2">
        <f>IF(D104="","",D104+0.2)</f>
        <v>5.3</v>
      </c>
      <c r="F104" t="inlineStr"/>
    </row>
    <row r="105">
      <c r="A105" t="n">
        <v>105</v>
      </c>
      <c r="B105" t="inlineStr">
        <is>
          <t>Bocadillos</t>
        </is>
      </c>
      <c r="C105" t="inlineStr">
        <is>
          <t>Felip viena</t>
        </is>
      </c>
      <c r="D105" s="2" t="n">
        <v>4.9</v>
      </c>
      <c r="E105" s="2">
        <f>IF(D105="","",D105+0.2)</f>
        <v>5.1</v>
      </c>
      <c r="F105" t="inlineStr"/>
    </row>
    <row r="106">
      <c r="A106" t="n">
        <v>106</v>
      </c>
      <c r="B106" t="inlineStr">
        <is>
          <t>Bocadillos</t>
        </is>
      </c>
      <c r="C106" t="inlineStr">
        <is>
          <t>El Xef.com flauta</t>
        </is>
      </c>
      <c r="D106" s="2" t="n">
        <v>6.1</v>
      </c>
      <c r="E106" s="2">
        <f>IF(D106="","",D106+0.2)</f>
        <v>6.3</v>
      </c>
      <c r="F106" t="inlineStr"/>
    </row>
    <row r="107">
      <c r="A107" t="n">
        <v>107</v>
      </c>
      <c r="B107" t="inlineStr">
        <is>
          <t>Bocadillos</t>
        </is>
      </c>
      <c r="C107" t="inlineStr">
        <is>
          <t>El Xef.com viena</t>
        </is>
      </c>
      <c r="D107" s="2" t="n">
        <v>4.9</v>
      </c>
      <c r="E107" s="2">
        <f>IF(D107="","",D107+0.2)</f>
        <v>5.1</v>
      </c>
      <c r="F107" t="inlineStr"/>
    </row>
    <row r="108">
      <c r="A108" t="n">
        <v>108</v>
      </c>
      <c r="B108" t="inlineStr">
        <is>
          <t>Bocadillos</t>
        </is>
      </c>
      <c r="C108" t="inlineStr">
        <is>
          <t>Relaxat flauta</t>
        </is>
      </c>
      <c r="D108" s="2" t="n">
        <v>5.9</v>
      </c>
      <c r="E108" s="2">
        <f>IF(D108="","",D108+0.2)</f>
        <v>6.1</v>
      </c>
      <c r="F108" t="inlineStr"/>
    </row>
    <row r="109">
      <c r="A109" t="n">
        <v>109</v>
      </c>
      <c r="B109" t="inlineStr">
        <is>
          <t>Bocadillos</t>
        </is>
      </c>
      <c r="C109" t="inlineStr">
        <is>
          <t>Relaxat viena</t>
        </is>
      </c>
      <c r="D109" s="2" t="n">
        <v>4.9</v>
      </c>
      <c r="E109" s="2">
        <f>IF(D109="","",D109+0.2)</f>
        <v>5.1</v>
      </c>
      <c r="F109" t="inlineStr"/>
    </row>
    <row r="110">
      <c r="A110" t="n">
        <v>110</v>
      </c>
      <c r="B110" t="inlineStr">
        <is>
          <t>Bocadillos</t>
        </is>
      </c>
      <c r="C110" t="inlineStr">
        <is>
          <t>Tropical flauta</t>
        </is>
      </c>
      <c r="D110" s="2" t="n">
        <v>5.6</v>
      </c>
      <c r="E110" s="2">
        <f>IF(D110="","",D110+0.2)</f>
        <v>5.8</v>
      </c>
      <c r="F110" t="inlineStr"/>
    </row>
    <row r="111">
      <c r="A111" t="n">
        <v>111</v>
      </c>
      <c r="B111" t="inlineStr">
        <is>
          <t>Bocadillos</t>
        </is>
      </c>
      <c r="C111" t="inlineStr">
        <is>
          <t>Tropical viena</t>
        </is>
      </c>
      <c r="D111" s="2" t="n">
        <v>4.9</v>
      </c>
      <c r="E111" s="2">
        <f>IF(D111="","",D111+0.2)</f>
        <v>5.1</v>
      </c>
      <c r="F111" t="inlineStr"/>
    </row>
    <row r="112">
      <c r="A112" t="n">
        <v>112</v>
      </c>
      <c r="B112" t="inlineStr">
        <is>
          <t>Cervezas</t>
        </is>
      </c>
      <c r="C112" t="inlineStr">
        <is>
          <t>Copa Estrella</t>
        </is>
      </c>
      <c r="D112" s="2" t="n">
        <v>2.45</v>
      </c>
      <c r="E112" s="2">
        <f>IF(D112="","",D112+0.2)</f>
        <v>2.65</v>
      </c>
      <c r="F112" t="inlineStr"/>
    </row>
    <row r="113">
      <c r="A113" t="n">
        <v>113</v>
      </c>
      <c r="B113" t="inlineStr">
        <is>
          <t>Cervezas</t>
        </is>
      </c>
      <c r="C113" t="inlineStr">
        <is>
          <t>Jarra</t>
        </is>
      </c>
      <c r="D113" s="2" t="n">
        <v>4.8</v>
      </c>
      <c r="E113" s="2">
        <f>IF(D113="","",D113+0.2)</f>
        <v>5.0</v>
      </c>
      <c r="F113" t="inlineStr"/>
    </row>
    <row r="114">
      <c r="A114" t="n">
        <v>114</v>
      </c>
      <c r="B114" t="inlineStr">
        <is>
          <t>Cervezas</t>
        </is>
      </c>
      <c r="C114" t="inlineStr">
        <is>
          <t>Zurito Estrella</t>
        </is>
      </c>
      <c r="D114" s="2" t="n">
        <v>1.75</v>
      </c>
      <c r="E114" s="2">
        <f>IF(D114="","",D114+0.2)</f>
        <v>1.95</v>
      </c>
      <c r="F114" t="inlineStr"/>
    </row>
    <row r="115">
      <c r="A115" t="n">
        <v>115</v>
      </c>
      <c r="B115" t="inlineStr">
        <is>
          <t>Cervezas</t>
        </is>
      </c>
      <c r="C115" t="inlineStr">
        <is>
          <t>Copa clara</t>
        </is>
      </c>
      <c r="D115" s="2" t="n">
        <v>2.45</v>
      </c>
      <c r="E115" s="2">
        <f>IF(D115="","",D115+0.2)</f>
        <v>2.65</v>
      </c>
      <c r="F115" t="inlineStr"/>
    </row>
    <row r="116">
      <c r="A116" t="n">
        <v>116</v>
      </c>
      <c r="B116" t="inlineStr">
        <is>
          <t>Cervezas</t>
        </is>
      </c>
      <c r="C116" t="inlineStr">
        <is>
          <t>Jarra clara</t>
        </is>
      </c>
      <c r="D116" s="2" t="n">
        <v>5.05</v>
      </c>
      <c r="E116" s="2">
        <f>IF(D116="","",D116+0.2)</f>
        <v>5.25</v>
      </c>
      <c r="F116" t="inlineStr"/>
    </row>
    <row r="117">
      <c r="A117" t="n">
        <v>117</v>
      </c>
      <c r="B117" t="inlineStr">
        <is>
          <t>Cervezas</t>
        </is>
      </c>
      <c r="C117" t="inlineStr">
        <is>
          <t>Zurito clara</t>
        </is>
      </c>
      <c r="D117" s="2" t="n">
        <v>1.8</v>
      </c>
      <c r="E117" s="2">
        <f>IF(D117="","",D117+0.2)</f>
        <v>2.0</v>
      </c>
      <c r="F117" t="inlineStr"/>
    </row>
    <row r="118">
      <c r="A118" t="n">
        <v>118</v>
      </c>
      <c r="B118" t="inlineStr">
        <is>
          <t>Cervezas</t>
        </is>
      </c>
      <c r="C118" t="inlineStr">
        <is>
          <t>Jarra Voll-Damm</t>
        </is>
      </c>
      <c r="D118" s="2" t="n">
        <v>5.15</v>
      </c>
      <c r="E118" s="2">
        <f>IF(D118="","",D118+0.2)</f>
        <v>5.35</v>
      </c>
      <c r="F118" t="inlineStr"/>
    </row>
    <row r="119">
      <c r="A119" t="n">
        <v>119</v>
      </c>
      <c r="B119" t="inlineStr">
        <is>
          <t>Cervezas</t>
        </is>
      </c>
      <c r="C119" t="inlineStr">
        <is>
          <t>Voll-Damm</t>
        </is>
      </c>
      <c r="D119" s="2" t="n">
        <v>2.75</v>
      </c>
      <c r="E119" s="2">
        <f>IF(D119="","",D119+0.2)</f>
        <v>2.95</v>
      </c>
      <c r="F119" t="inlineStr"/>
    </row>
    <row r="120">
      <c r="A120" t="n">
        <v>120</v>
      </c>
      <c r="B120" t="inlineStr">
        <is>
          <t>Cervezas</t>
        </is>
      </c>
      <c r="C120" t="inlineStr">
        <is>
          <t>Zurito Voll-Damm</t>
        </is>
      </c>
      <c r="D120" s="2" t="n">
        <v>1.8</v>
      </c>
      <c r="E120" s="2">
        <f>IF(D120="","",D120+0.2)</f>
        <v>2.0</v>
      </c>
      <c r="F120" t="inlineStr"/>
    </row>
    <row r="121">
      <c r="A121" t="n">
        <v>121</v>
      </c>
      <c r="B121" t="inlineStr">
        <is>
          <t>Cervezas</t>
        </is>
      </c>
      <c r="C121" t="inlineStr">
        <is>
          <t>Zurito Turia</t>
        </is>
      </c>
      <c r="D121" s="2" t="n">
        <v>1.75</v>
      </c>
      <c r="E121" s="2">
        <f>IF(D121="","",D121+0.2)</f>
        <v>1.95</v>
      </c>
      <c r="F121" t="inlineStr"/>
    </row>
    <row r="122">
      <c r="A122" t="n">
        <v>122</v>
      </c>
      <c r="B122" t="inlineStr">
        <is>
          <t>Cervezas</t>
        </is>
      </c>
      <c r="C122" t="inlineStr">
        <is>
          <t>Copa Turia</t>
        </is>
      </c>
      <c r="D122" s="2" t="n">
        <v>2.7</v>
      </c>
      <c r="E122" s="2">
        <f>IF(D122="","",D122+0.2)</f>
        <v>2.9</v>
      </c>
      <c r="F122" t="inlineStr"/>
    </row>
    <row r="123">
      <c r="A123" t="n">
        <v>123</v>
      </c>
      <c r="B123" t="inlineStr">
        <is>
          <t>Cervezas</t>
        </is>
      </c>
      <c r="C123" t="inlineStr">
        <is>
          <t>Jarra Turia</t>
        </is>
      </c>
      <c r="D123" s="2" t="n">
        <v>5</v>
      </c>
      <c r="E123" s="2">
        <f>IF(D123="","",D123+0.2)</f>
        <v>5.2</v>
      </c>
      <c r="F123" t="inlineStr"/>
    </row>
    <row r="124">
      <c r="A124" t="n">
        <v>124</v>
      </c>
      <c r="B124" t="inlineStr">
        <is>
          <t>Cervezas</t>
        </is>
      </c>
      <c r="C124" t="inlineStr">
        <is>
          <t>Free Damm azul</t>
        </is>
      </c>
      <c r="D124" s="2" t="n">
        <v>2.55</v>
      </c>
      <c r="E124" s="2">
        <f>IF(D124="","",D124+0.2)</f>
        <v>2.75</v>
      </c>
      <c r="F124" t="inlineStr"/>
    </row>
    <row r="125">
      <c r="A125" s="3" t="n">
        <v>125</v>
      </c>
      <c r="B125" s="3" t="inlineStr">
        <is>
          <t>Cervezas</t>
        </is>
      </c>
      <c r="C125" s="3" t="inlineStr">
        <is>
          <t>Lúpulo tostada</t>
        </is>
      </c>
      <c r="D125" s="4" t="n">
        <v>2.55</v>
      </c>
      <c r="E125" s="4">
        <f>IF(D125="","",D125+0.2)</f>
        <v>2.75</v>
      </c>
      <c r="F125" s="3" t="inlineStr">
        <is>
          <t>Revisar: en la tarifa pone 'Lupulo tostada'</t>
        </is>
      </c>
    </row>
    <row r="126">
      <c r="A126" t="n">
        <v>126</v>
      </c>
      <c r="B126" t="inlineStr">
        <is>
          <t>Cervezas</t>
        </is>
      </c>
      <c r="C126" t="inlineStr">
        <is>
          <t>Free Damm amarilla</t>
        </is>
      </c>
      <c r="D126" s="2" t="n">
        <v>2.55</v>
      </c>
      <c r="E126" s="2">
        <f>IF(D126="","",D126+0.2)</f>
        <v>2.75</v>
      </c>
      <c r="F126" t="inlineStr"/>
    </row>
    <row r="127">
      <c r="A127" s="3" t="n">
        <v>127</v>
      </c>
      <c r="B127" s="3" t="inlineStr">
        <is>
          <t>Cervezas</t>
        </is>
      </c>
      <c r="C127" s="3" t="inlineStr">
        <is>
          <t>Tinto de verano</t>
        </is>
      </c>
      <c r="D127" s="4" t="n">
        <v>5.75</v>
      </c>
      <c r="E127" s="4">
        <f>IF(D127="","",D127+0.2)</f>
        <v>5.95</v>
      </c>
      <c r="F127" s="3" t="inlineStr">
        <is>
          <t>Revisar: aparece más de una vez con precios distintos</t>
        </is>
      </c>
    </row>
    <row r="128">
      <c r="A128" t="n">
        <v>128</v>
      </c>
      <c r="B128" t="inlineStr">
        <is>
          <t>Cervezas</t>
        </is>
      </c>
      <c r="C128" t="inlineStr">
        <is>
          <t>Coronita</t>
        </is>
      </c>
      <c r="D128" s="2" t="n">
        <v>2.7</v>
      </c>
      <c r="E128" s="2">
        <f>IF(D128="","",D128+0.2)</f>
        <v>2.9</v>
      </c>
      <c r="F128" t="inlineStr"/>
    </row>
    <row r="129">
      <c r="A129" t="n">
        <v>129</v>
      </c>
      <c r="B129" t="inlineStr">
        <is>
          <t>Cervezas</t>
        </is>
      </c>
      <c r="C129" t="inlineStr">
        <is>
          <t>Daura</t>
        </is>
      </c>
      <c r="D129" s="2" t="n">
        <v>2.7</v>
      </c>
      <c r="E129" s="2">
        <f>IF(D129="","",D129+0.2)</f>
        <v>2.9</v>
      </c>
      <c r="F129" t="inlineStr"/>
    </row>
    <row r="130">
      <c r="A130" t="n">
        <v>130</v>
      </c>
      <c r="B130" t="inlineStr">
        <is>
          <t>Cervezas</t>
        </is>
      </c>
      <c r="C130" t="inlineStr">
        <is>
          <t>Desperados</t>
        </is>
      </c>
      <c r="D130" s="2" t="n">
        <v>2.7</v>
      </c>
      <c r="E130" s="2">
        <f>IF(D130="","",D130+0.2)</f>
        <v>2.9</v>
      </c>
      <c r="F130" t="inlineStr"/>
    </row>
    <row r="131">
      <c r="A131" t="n">
        <v>131</v>
      </c>
      <c r="B131" t="inlineStr">
        <is>
          <t>Cervezas</t>
        </is>
      </c>
      <c r="C131" t="inlineStr">
        <is>
          <t>Mediana Estrella</t>
        </is>
      </c>
      <c r="D131" s="2" t="n">
        <v>1.95</v>
      </c>
      <c r="E131" s="2">
        <f>IF(D131="","",D131+0.2)</f>
        <v>2.15</v>
      </c>
      <c r="F131" t="inlineStr"/>
    </row>
    <row r="132">
      <c r="A132" t="n">
        <v>132</v>
      </c>
      <c r="B132" t="inlineStr">
        <is>
          <t>Cervezas</t>
        </is>
      </c>
      <c r="C132" t="inlineStr">
        <is>
          <t>Jarra para llevar</t>
        </is>
      </c>
      <c r="D132" s="2" t="n">
        <v>2.95</v>
      </c>
      <c r="E132" s="2">
        <f>IF(D132="","",D132+0.2)</f>
        <v>3.15</v>
      </c>
      <c r="F132" t="inlineStr"/>
    </row>
    <row r="133">
      <c r="A133" t="n">
        <v>133</v>
      </c>
      <c r="B133" t="inlineStr">
        <is>
          <t>Cervezas</t>
        </is>
      </c>
      <c r="C133" t="inlineStr">
        <is>
          <t>Quinto Free Damm tostada</t>
        </is>
      </c>
      <c r="D133" s="2" t="n">
        <v>1.95</v>
      </c>
      <c r="E133" s="2">
        <f>IF(D133="","",D133+0.2)</f>
        <v>2.15</v>
      </c>
      <c r="F133" t="inlineStr"/>
    </row>
    <row r="134">
      <c r="A134" t="n">
        <v>134</v>
      </c>
      <c r="B134" t="inlineStr">
        <is>
          <t>Cervezas</t>
        </is>
      </c>
      <c r="C134" t="inlineStr">
        <is>
          <t>Copa para llevar</t>
        </is>
      </c>
      <c r="D134" s="2" t="n">
        <v>1.5</v>
      </c>
      <c r="E134" s="2">
        <f>IF(D134="","",D134+0.2)</f>
        <v>1.7</v>
      </c>
      <c r="F134" t="inlineStr"/>
    </row>
    <row r="135">
      <c r="A135" t="n">
        <v>135</v>
      </c>
      <c r="B135" t="inlineStr">
        <is>
          <t>Cervezas</t>
        </is>
      </c>
      <c r="C135" t="inlineStr">
        <is>
          <t>Sangría de cava</t>
        </is>
      </c>
      <c r="D135" s="2" t="n">
        <v>12.5</v>
      </c>
      <c r="E135" s="2">
        <f>IF(D135="","",D135+0.2)</f>
        <v>12.7</v>
      </c>
      <c r="F135" t="inlineStr"/>
    </row>
    <row r="136">
      <c r="A136" t="n">
        <v>136</v>
      </c>
      <c r="B136" t="inlineStr">
        <is>
          <t>Cervezas</t>
        </is>
      </c>
      <c r="C136" t="inlineStr">
        <is>
          <t>Sangría de vino</t>
        </is>
      </c>
      <c r="D136" s="2" t="n">
        <v>9</v>
      </c>
      <c r="E136" s="2">
        <f>IF(D136="","",D136+0.2)</f>
        <v>9.2</v>
      </c>
      <c r="F136" t="inlineStr"/>
    </row>
    <row r="137">
      <c r="A137" t="n">
        <v>137</v>
      </c>
      <c r="B137" t="inlineStr">
        <is>
          <t>Cafés e infusiones</t>
        </is>
      </c>
      <c r="C137" t="inlineStr">
        <is>
          <t>Café solo</t>
        </is>
      </c>
      <c r="D137" s="2" t="n">
        <v>1.4</v>
      </c>
      <c r="E137" s="2">
        <f>IF(D137="","",D137+0.2)</f>
        <v>1.6</v>
      </c>
      <c r="F137" t="inlineStr"/>
    </row>
    <row r="138">
      <c r="A138" t="n">
        <v>138</v>
      </c>
      <c r="B138" t="inlineStr">
        <is>
          <t>Cafés e infusiones</t>
        </is>
      </c>
      <c r="C138" t="inlineStr">
        <is>
          <t>Café descafeinado</t>
        </is>
      </c>
      <c r="D138" s="2" t="n">
        <v>1.4</v>
      </c>
      <c r="E138" s="2">
        <f>IF(D138="","",D138+0.2)</f>
        <v>1.6</v>
      </c>
      <c r="F138" t="inlineStr"/>
    </row>
    <row r="139">
      <c r="A139" t="n">
        <v>139</v>
      </c>
      <c r="B139" t="inlineStr">
        <is>
          <t>Cafés e infusiones</t>
        </is>
      </c>
      <c r="C139" t="inlineStr">
        <is>
          <t>Café con hielo</t>
        </is>
      </c>
      <c r="D139" s="2" t="n">
        <v>1.6</v>
      </c>
      <c r="E139" s="2">
        <f>IF(D139="","",D139+0.2)</f>
        <v>1.8</v>
      </c>
      <c r="F139" t="inlineStr"/>
    </row>
    <row r="140">
      <c r="A140" t="n">
        <v>140</v>
      </c>
      <c r="B140" t="inlineStr">
        <is>
          <t>Cafés e infusiones</t>
        </is>
      </c>
      <c r="C140" t="inlineStr">
        <is>
          <t>Cortado</t>
        </is>
      </c>
      <c r="D140" s="2" t="n">
        <v>1.45</v>
      </c>
      <c r="E140" s="2">
        <f>IF(D140="","",D140+0.2)</f>
        <v>1.65</v>
      </c>
      <c r="F140" t="inlineStr"/>
    </row>
    <row r="141">
      <c r="A141" t="n">
        <v>141</v>
      </c>
      <c r="B141" t="inlineStr">
        <is>
          <t>Cafés e infusiones</t>
        </is>
      </c>
      <c r="C141" t="inlineStr">
        <is>
          <t>Cortado descafeinado</t>
        </is>
      </c>
      <c r="D141" s="2" t="n">
        <v>1.45</v>
      </c>
      <c r="E141" s="2">
        <f>IF(D141="","",D141+0.2)</f>
        <v>1.65</v>
      </c>
      <c r="F141" t="inlineStr"/>
    </row>
    <row r="142">
      <c r="A142" t="n">
        <v>142</v>
      </c>
      <c r="B142" t="inlineStr">
        <is>
          <t>Cafés e infusiones</t>
        </is>
      </c>
      <c r="C142" t="inlineStr">
        <is>
          <t>Cortado descafeinado de sobre</t>
        </is>
      </c>
      <c r="D142" s="2" t="n">
        <v>1.45</v>
      </c>
      <c r="E142" s="2">
        <f>IF(D142="","",D142+0.2)</f>
        <v>1.65</v>
      </c>
      <c r="F142" t="inlineStr"/>
    </row>
    <row r="143">
      <c r="A143" t="n">
        <v>143</v>
      </c>
      <c r="B143" t="inlineStr">
        <is>
          <t>Cafés e infusiones</t>
        </is>
      </c>
      <c r="C143" t="inlineStr">
        <is>
          <t>Café con leche</t>
        </is>
      </c>
      <c r="D143" s="2" t="n">
        <v>1.75</v>
      </c>
      <c r="E143" s="2">
        <f>IF(D143="","",D143+0.2)</f>
        <v>1.95</v>
      </c>
      <c r="F143" t="inlineStr"/>
    </row>
    <row r="144">
      <c r="A144" t="n">
        <v>144</v>
      </c>
      <c r="B144" t="inlineStr">
        <is>
          <t>Cafés e infusiones</t>
        </is>
      </c>
      <c r="C144" t="inlineStr">
        <is>
          <t>Café con leche descafeinado</t>
        </is>
      </c>
      <c r="D144" s="2" t="n">
        <v>1.75</v>
      </c>
      <c r="E144" s="2">
        <f>IF(D144="","",D144+0.2)</f>
        <v>1.95</v>
      </c>
      <c r="F144" t="inlineStr"/>
    </row>
    <row r="145">
      <c r="A145" t="n">
        <v>145</v>
      </c>
      <c r="B145" t="inlineStr">
        <is>
          <t>Cafés e infusiones</t>
        </is>
      </c>
      <c r="C145" t="inlineStr">
        <is>
          <t>Café con leche de sobre</t>
        </is>
      </c>
      <c r="D145" s="2" t="n">
        <v>1.75</v>
      </c>
      <c r="E145" s="2">
        <f>IF(D145="","",D145+0.2)</f>
        <v>1.95</v>
      </c>
      <c r="F145" t="inlineStr"/>
    </row>
    <row r="146">
      <c r="A146" t="n">
        <v>146</v>
      </c>
      <c r="B146" t="inlineStr">
        <is>
          <t>Cafés e infusiones</t>
        </is>
      </c>
      <c r="C146" t="inlineStr">
        <is>
          <t>Carajillo de whisky</t>
        </is>
      </c>
      <c r="D146" s="2" t="n">
        <v>3</v>
      </c>
      <c r="E146" s="2">
        <f>IF(D146="","",D146+0.2)</f>
        <v>3.2</v>
      </c>
      <c r="F146" t="inlineStr"/>
    </row>
    <row r="147">
      <c r="A147" t="n">
        <v>147</v>
      </c>
      <c r="B147" t="inlineStr">
        <is>
          <t>Cafés e infusiones</t>
        </is>
      </c>
      <c r="C147" t="inlineStr">
        <is>
          <t>Trifásico de whisky</t>
        </is>
      </c>
      <c r="D147" s="2" t="n">
        <v>3</v>
      </c>
      <c r="E147" s="2">
        <f>IF(D147="","",D147+0.2)</f>
        <v>3.2</v>
      </c>
      <c r="F147" t="inlineStr"/>
    </row>
    <row r="148">
      <c r="A148" t="n">
        <v>148</v>
      </c>
      <c r="B148" t="inlineStr">
        <is>
          <t>Cafés e infusiones</t>
        </is>
      </c>
      <c r="C148" t="inlineStr">
        <is>
          <t>Carajillo de Anís del Mono</t>
        </is>
      </c>
      <c r="D148" s="2" t="n">
        <v>3</v>
      </c>
      <c r="E148" s="2">
        <f>IF(D148="","",D148+0.2)</f>
        <v>3.2</v>
      </c>
      <c r="F148" t="inlineStr"/>
    </row>
    <row r="149">
      <c r="A149" t="n">
        <v>149</v>
      </c>
      <c r="B149" t="inlineStr">
        <is>
          <t>Cafés e infusiones</t>
        </is>
      </c>
      <c r="C149" t="inlineStr">
        <is>
          <t>Carajillo de Marie Brizard</t>
        </is>
      </c>
      <c r="D149" s="2" t="n">
        <v>3</v>
      </c>
      <c r="E149" s="2">
        <f>IF(D149="","",D149+0.2)</f>
        <v>3.2</v>
      </c>
      <c r="F149" t="inlineStr"/>
    </row>
    <row r="150">
      <c r="A150" t="n">
        <v>150</v>
      </c>
      <c r="B150" t="inlineStr">
        <is>
          <t>Cafés e infusiones</t>
        </is>
      </c>
      <c r="C150" t="inlineStr">
        <is>
          <t>Bombón</t>
        </is>
      </c>
      <c r="D150" s="2" t="n">
        <v>2.95</v>
      </c>
      <c r="E150" s="2">
        <f>IF(D150="","",D150+0.2)</f>
        <v>3.15</v>
      </c>
      <c r="F150" t="inlineStr"/>
    </row>
    <row r="151">
      <c r="A151" t="n">
        <v>151</v>
      </c>
      <c r="B151" t="inlineStr">
        <is>
          <t>Cafés e infusiones</t>
        </is>
      </c>
      <c r="C151" t="inlineStr">
        <is>
          <t>Carajillo de Baileys</t>
        </is>
      </c>
      <c r="D151" s="2" t="n">
        <v>3.1</v>
      </c>
      <c r="E151" s="2">
        <f>IF(D151="","",D151+0.2)</f>
        <v>3.3</v>
      </c>
      <c r="F151" t="inlineStr"/>
    </row>
    <row r="152">
      <c r="A152" t="n">
        <v>152</v>
      </c>
      <c r="B152" t="inlineStr">
        <is>
          <t>Cafés e infusiones</t>
        </is>
      </c>
      <c r="C152" t="inlineStr">
        <is>
          <t>Trifásico de Baileys</t>
        </is>
      </c>
      <c r="D152" s="2" t="n">
        <v>3.1</v>
      </c>
      <c r="E152" s="2">
        <f>IF(D152="","",D152+0.2)</f>
        <v>3.3</v>
      </c>
      <c r="F152" t="inlineStr"/>
    </row>
    <row r="153">
      <c r="A153" t="n">
        <v>153</v>
      </c>
      <c r="B153" t="inlineStr">
        <is>
          <t>Cafés e infusiones</t>
        </is>
      </c>
      <c r="C153" t="inlineStr">
        <is>
          <t>Carajillo de Magno</t>
        </is>
      </c>
      <c r="D153" s="2" t="n">
        <v>3</v>
      </c>
      <c r="E153" s="2">
        <f>IF(D153="","",D153+0.2)</f>
        <v>3.2</v>
      </c>
      <c r="F153" t="inlineStr"/>
    </row>
    <row r="154">
      <c r="A154" t="n">
        <v>154</v>
      </c>
      <c r="B154" t="inlineStr">
        <is>
          <t>Cafés e infusiones</t>
        </is>
      </c>
      <c r="C154" t="inlineStr">
        <is>
          <t>Carajillo de ron</t>
        </is>
      </c>
      <c r="D154" s="2" t="n">
        <v>3</v>
      </c>
      <c r="E154" s="2">
        <f>IF(D154="","",D154+0.2)</f>
        <v>3.2</v>
      </c>
      <c r="F154" t="inlineStr"/>
    </row>
    <row r="155">
      <c r="A155" t="n">
        <v>155</v>
      </c>
      <c r="B155" t="inlineStr">
        <is>
          <t>Cafés e infusiones</t>
        </is>
      </c>
      <c r="C155" t="inlineStr">
        <is>
          <t>Poleo menta</t>
        </is>
      </c>
      <c r="D155" s="2" t="n">
        <v>2.25</v>
      </c>
      <c r="E155" s="2">
        <f>IF(D155="","",D155+0.2)</f>
        <v>2.45</v>
      </c>
      <c r="F155" t="inlineStr"/>
    </row>
    <row r="156">
      <c r="A156" t="n">
        <v>156</v>
      </c>
      <c r="B156" t="inlineStr">
        <is>
          <t>Cafés e infusiones</t>
        </is>
      </c>
      <c r="C156" t="inlineStr">
        <is>
          <t>Té verde</t>
        </is>
      </c>
      <c r="D156" s="2" t="n">
        <v>2.25</v>
      </c>
      <c r="E156" s="2">
        <f>IF(D156="","",D156+0.2)</f>
        <v>2.45</v>
      </c>
      <c r="F156" t="inlineStr"/>
    </row>
    <row r="157">
      <c r="A157" t="n">
        <v>157</v>
      </c>
      <c r="B157" t="inlineStr">
        <is>
          <t>Cafés e infusiones</t>
        </is>
      </c>
      <c r="C157" t="inlineStr">
        <is>
          <t>Té rojo</t>
        </is>
      </c>
      <c r="D157" s="2" t="n">
        <v>2.25</v>
      </c>
      <c r="E157" s="2">
        <f>IF(D157="","",D157+0.2)</f>
        <v>2.45</v>
      </c>
      <c r="F157" t="inlineStr"/>
    </row>
    <row r="158">
      <c r="A158" t="n">
        <v>158</v>
      </c>
      <c r="B158" t="inlineStr">
        <is>
          <t>Cafés e infusiones</t>
        </is>
      </c>
      <c r="C158" t="inlineStr">
        <is>
          <t>Té frutas del bosque</t>
        </is>
      </c>
      <c r="D158" s="2" t="n">
        <v>2.25</v>
      </c>
      <c r="E158" s="2">
        <f>IF(D158="","",D158+0.2)</f>
        <v>2.45</v>
      </c>
      <c r="F158" t="inlineStr"/>
    </row>
    <row r="159">
      <c r="A159" t="n">
        <v>159</v>
      </c>
      <c r="B159" t="inlineStr">
        <is>
          <t>Cafés e infusiones</t>
        </is>
      </c>
      <c r="C159" t="inlineStr">
        <is>
          <t>Té negro</t>
        </is>
      </c>
      <c r="D159" s="2" t="n">
        <v>2.25</v>
      </c>
      <c r="E159" s="2">
        <f>IF(D159="","",D159+0.2)</f>
        <v>2.45</v>
      </c>
      <c r="F159" t="inlineStr"/>
    </row>
    <row r="160">
      <c r="A160" t="n">
        <v>160</v>
      </c>
      <c r="B160" t="inlineStr">
        <is>
          <t>Cafés e infusiones</t>
        </is>
      </c>
      <c r="C160" t="inlineStr">
        <is>
          <t>Rooibos albahaca</t>
        </is>
      </c>
      <c r="D160" s="2" t="n">
        <v>2.25</v>
      </c>
      <c r="E160" s="2">
        <f>IF(D160="","",D160+0.2)</f>
        <v>2.45</v>
      </c>
      <c r="F160" t="inlineStr"/>
    </row>
    <row r="161">
      <c r="A161" t="n">
        <v>161</v>
      </c>
      <c r="B161" t="inlineStr">
        <is>
          <t>Cafés e infusiones</t>
        </is>
      </c>
      <c r="C161" t="inlineStr">
        <is>
          <t>Manzanilla</t>
        </is>
      </c>
      <c r="D161" s="2" t="n">
        <v>2.25</v>
      </c>
      <c r="E161" s="2">
        <f>IF(D161="","",D161+0.2)</f>
        <v>2.45</v>
      </c>
      <c r="F161" t="inlineStr"/>
    </row>
    <row r="162">
      <c r="A162" t="n">
        <v>162</v>
      </c>
      <c r="B162" t="inlineStr">
        <is>
          <t>Cafés e infusiones</t>
        </is>
      </c>
      <c r="C162" t="inlineStr">
        <is>
          <t>Café americano</t>
        </is>
      </c>
      <c r="D162" s="2" t="n">
        <v>1.75</v>
      </c>
      <c r="E162" s="2">
        <f>IF(D162="","",D162+0.2)</f>
        <v>1.95</v>
      </c>
      <c r="F162" t="inlineStr"/>
    </row>
    <row r="163">
      <c r="A163" t="n">
        <v>163</v>
      </c>
      <c r="B163" t="inlineStr">
        <is>
          <t>Cafés e infusiones</t>
        </is>
      </c>
      <c r="C163" t="inlineStr">
        <is>
          <t>Café americano descafeinado</t>
        </is>
      </c>
      <c r="D163" s="2" t="n">
        <v>1.7</v>
      </c>
      <c r="E163" s="2">
        <f>IF(D163="","",D163+0.2)</f>
        <v>1.9</v>
      </c>
      <c r="F163" t="inlineStr"/>
    </row>
    <row r="164">
      <c r="A164" t="n">
        <v>164</v>
      </c>
      <c r="B164" t="inlineStr">
        <is>
          <t>Cafés e infusiones</t>
        </is>
      </c>
      <c r="C164" t="inlineStr">
        <is>
          <t>Leche desnatada</t>
        </is>
      </c>
      <c r="D164" s="2" t="n"/>
      <c r="E164" s="2" t="str">
        <f>IF(D164="","",D164+0.2)</f>
        <v/>
      </c>
      <c r="F164" t="inlineStr">
        <is>
          <t>Sin precio en la tarifa</t>
        </is>
      </c>
    </row>
    <row r="165">
      <c r="A165" t="n">
        <v>165</v>
      </c>
      <c r="B165" t="inlineStr">
        <is>
          <t>Cafés e infusiones</t>
        </is>
      </c>
      <c r="C165" t="inlineStr">
        <is>
          <t>Capuchino</t>
        </is>
      </c>
      <c r="D165" s="2" t="n">
        <v>4.35</v>
      </c>
      <c r="E165" s="2">
        <f>IF(D165="","",D165+0.2)</f>
        <v>4.55</v>
      </c>
      <c r="F165" t="inlineStr"/>
    </row>
    <row r="166">
      <c r="A166" t="n">
        <v>166</v>
      </c>
      <c r="B166" t="inlineStr">
        <is>
          <t>Cafés e infusiones</t>
        </is>
      </c>
      <c r="C166" t="inlineStr">
        <is>
          <t>Café irlandés</t>
        </is>
      </c>
      <c r="D166" s="2" t="n">
        <v>6.5</v>
      </c>
      <c r="E166" s="2">
        <f>IF(D166="","",D166+0.2)</f>
        <v>6.7</v>
      </c>
      <c r="F166" t="inlineStr"/>
    </row>
    <row r="167">
      <c r="A167" t="n">
        <v>167</v>
      </c>
      <c r="B167" t="inlineStr">
        <is>
          <t>Cafés e infusiones</t>
        </is>
      </c>
      <c r="C167" t="inlineStr">
        <is>
          <t>Carajillo de Baileys grande</t>
        </is>
      </c>
      <c r="D167" s="2" t="n">
        <v>5.25</v>
      </c>
      <c r="E167" s="2">
        <f>IF(D167="","",D167+0.2)</f>
        <v>5.45</v>
      </c>
      <c r="F167" t="inlineStr"/>
    </row>
    <row r="168">
      <c r="A168" t="n">
        <v>168</v>
      </c>
      <c r="B168" t="inlineStr">
        <is>
          <t>Cafés e infusiones</t>
        </is>
      </c>
      <c r="C168" t="inlineStr">
        <is>
          <t>Trifásico de coñac</t>
        </is>
      </c>
      <c r="D168" s="2" t="n">
        <v>3</v>
      </c>
      <c r="E168" s="2">
        <f>IF(D168="","",D168+0.2)</f>
        <v>3.2</v>
      </c>
      <c r="F168" t="inlineStr"/>
    </row>
    <row r="169">
      <c r="A169" t="n">
        <v>169</v>
      </c>
      <c r="B169" t="inlineStr">
        <is>
          <t>Cafés e infusiones</t>
        </is>
      </c>
      <c r="C169" t="inlineStr">
        <is>
          <t>Trifásico de Baileys</t>
        </is>
      </c>
      <c r="D169" s="2" t="n">
        <v>3.1</v>
      </c>
      <c r="E169" s="2">
        <f>IF(D169="","",D169+0.2)</f>
        <v>3.3</v>
      </c>
      <c r="F169" t="inlineStr"/>
    </row>
    <row r="170">
      <c r="A170" t="n">
        <v>170</v>
      </c>
      <c r="B170" t="inlineStr">
        <is>
          <t>Cafés e infusiones</t>
        </is>
      </c>
      <c r="C170" t="inlineStr">
        <is>
          <t>Azúcar moreno</t>
        </is>
      </c>
      <c r="D170" s="2" t="n"/>
      <c r="E170" s="2" t="str">
        <f>IF(D170="","",D170+0.2)</f>
        <v/>
      </c>
      <c r="F170" t="inlineStr">
        <is>
          <t>Sin precio en la tarifa</t>
        </is>
      </c>
    </row>
    <row r="171">
      <c r="A171" t="n">
        <v>171</v>
      </c>
      <c r="B171" t="inlineStr">
        <is>
          <t>Cafés e infusiones</t>
        </is>
      </c>
      <c r="C171" t="inlineStr">
        <is>
          <t>Leche de soja</t>
        </is>
      </c>
      <c r="D171" s="2" t="n"/>
      <c r="E171" s="2" t="str">
        <f>IF(D171="","",D171+0.2)</f>
        <v/>
      </c>
      <c r="F171" t="inlineStr">
        <is>
          <t>Sin precio en la tarifa</t>
        </is>
      </c>
    </row>
    <row r="172">
      <c r="A172" t="n">
        <v>172</v>
      </c>
      <c r="B172" t="inlineStr">
        <is>
          <t>Cafés e infusiones</t>
        </is>
      </c>
      <c r="C172" t="inlineStr">
        <is>
          <t>Con corazón</t>
        </is>
      </c>
      <c r="D172" s="2" t="n"/>
      <c r="E172" s="2" t="str">
        <f>IF(D172="","",D172+0.2)</f>
        <v/>
      </c>
      <c r="F172" t="inlineStr">
        <is>
          <t>Sin precio en la tarifa</t>
        </is>
      </c>
    </row>
    <row r="173">
      <c r="A173" t="n">
        <v>173</v>
      </c>
      <c r="B173" t="inlineStr">
        <is>
          <t>Cafés e infusiones</t>
        </is>
      </c>
      <c r="C173" t="inlineStr">
        <is>
          <t>Sacarina</t>
        </is>
      </c>
      <c r="D173" s="2" t="n"/>
      <c r="E173" s="2" t="str">
        <f>IF(D173="","",D173+0.2)</f>
        <v/>
      </c>
      <c r="F173" t="inlineStr">
        <is>
          <t>Sin precio en la tarifa</t>
        </is>
      </c>
    </row>
    <row r="174">
      <c r="A174" t="n">
        <v>174</v>
      </c>
      <c r="B174" t="inlineStr">
        <is>
          <t>Cafés e infusiones</t>
        </is>
      </c>
      <c r="C174" t="inlineStr">
        <is>
          <t>Vaso de leche</t>
        </is>
      </c>
      <c r="D174" s="2" t="n">
        <v>1.35</v>
      </c>
      <c r="E174" s="2">
        <f>IF(D174="","",D174+0.2)</f>
        <v>1.55</v>
      </c>
      <c r="F174" t="inlineStr"/>
    </row>
    <row r="175">
      <c r="A175" t="n">
        <v>175</v>
      </c>
      <c r="B175" t="inlineStr">
        <is>
          <t>Cafés e infusiones</t>
        </is>
      </c>
      <c r="C175" t="inlineStr">
        <is>
          <t>Leche de avena</t>
        </is>
      </c>
      <c r="D175" s="2" t="n"/>
      <c r="E175" s="2" t="str">
        <f>IF(D175="","",D175+0.2)</f>
        <v/>
      </c>
      <c r="F175" t="inlineStr">
        <is>
          <t>Sin precio en la tarifa</t>
        </is>
      </c>
    </row>
    <row r="176">
      <c r="A176" t="n">
        <v>176</v>
      </c>
      <c r="B176" t="inlineStr">
        <is>
          <t>Cafés e infusiones</t>
        </is>
      </c>
      <c r="C176" t="inlineStr">
        <is>
          <t>Leche natural</t>
        </is>
      </c>
      <c r="D176" s="2" t="n"/>
      <c r="E176" s="2" t="str">
        <f>IF(D176="","",D176+0.2)</f>
        <v/>
      </c>
      <c r="F176" t="inlineStr">
        <is>
          <t>Sin precio en la tarifa</t>
        </is>
      </c>
    </row>
    <row r="177">
      <c r="A177" t="n">
        <v>177</v>
      </c>
      <c r="B177" t="inlineStr">
        <is>
          <t>Cafés e infusiones</t>
        </is>
      </c>
      <c r="C177" t="inlineStr">
        <is>
          <t>Café con leche XXL</t>
        </is>
      </c>
      <c r="D177" s="2" t="n">
        <v>2.2</v>
      </c>
      <c r="E177" s="2">
        <f>IF(D177="","",D177+0.2)</f>
        <v>2.4</v>
      </c>
      <c r="F177" t="inlineStr"/>
    </row>
    <row r="178">
      <c r="A178" t="n">
        <v>178</v>
      </c>
      <c r="B178" t="inlineStr">
        <is>
          <t>Chupitos</t>
        </is>
      </c>
      <c r="C178" t="inlineStr">
        <is>
          <t>Chupito de hierbas</t>
        </is>
      </c>
      <c r="D178" s="2" t="n">
        <v>2.45</v>
      </c>
      <c r="E178" s="2">
        <f>IF(D178="","",D178+0.2)</f>
        <v>2.65</v>
      </c>
      <c r="F178" t="inlineStr"/>
    </row>
    <row r="179">
      <c r="A179" t="n">
        <v>179</v>
      </c>
      <c r="B179" t="inlineStr">
        <is>
          <t>Chupitos</t>
        </is>
      </c>
      <c r="C179" t="inlineStr">
        <is>
          <t>Chupito de limoncello</t>
        </is>
      </c>
      <c r="D179" s="2" t="n">
        <v>2.45</v>
      </c>
      <c r="E179" s="2">
        <f>IF(D179="","",D179+0.2)</f>
        <v>2.65</v>
      </c>
      <c r="F179" t="inlineStr"/>
    </row>
    <row r="180">
      <c r="A180" t="n">
        <v>180</v>
      </c>
      <c r="B180" t="inlineStr">
        <is>
          <t>Chupitos</t>
        </is>
      </c>
      <c r="C180" t="inlineStr">
        <is>
          <t>Chupito de orujo blanco</t>
        </is>
      </c>
      <c r="D180" s="2" t="n">
        <v>2.45</v>
      </c>
      <c r="E180" s="2">
        <f>IF(D180="","",D180+0.2)</f>
        <v>2.65</v>
      </c>
      <c r="F180" t="inlineStr"/>
    </row>
    <row r="181">
      <c r="A181" t="n">
        <v>181</v>
      </c>
      <c r="B181" t="inlineStr">
        <is>
          <t>Chupitos</t>
        </is>
      </c>
      <c r="C181" t="inlineStr">
        <is>
          <t>Chupito de crema de orujo</t>
        </is>
      </c>
      <c r="D181" s="2" t="n">
        <v>2.7</v>
      </c>
      <c r="E181" s="2">
        <f>IF(D181="","",D181+0.2)</f>
        <v>2.9</v>
      </c>
      <c r="F181" t="inlineStr"/>
    </row>
    <row r="182">
      <c r="A182" t="n">
        <v>182</v>
      </c>
      <c r="B182" t="inlineStr">
        <is>
          <t>Chupitos</t>
        </is>
      </c>
      <c r="C182" t="inlineStr">
        <is>
          <t>Chupito de orujo de café</t>
        </is>
      </c>
      <c r="D182" s="2" t="n">
        <v>2.55</v>
      </c>
      <c r="E182" s="2">
        <f>IF(D182="","",D182+0.2)</f>
        <v>2.75</v>
      </c>
      <c r="F182" t="inlineStr"/>
    </row>
    <row r="183">
      <c r="A183" t="n">
        <v>183</v>
      </c>
      <c r="B183" t="inlineStr">
        <is>
          <t>Chupitos</t>
        </is>
      </c>
      <c r="C183" t="inlineStr">
        <is>
          <t>Chupito de Jägermeister</t>
        </is>
      </c>
      <c r="D183" s="2" t="n">
        <v>3.25</v>
      </c>
      <c r="E183" s="2">
        <f>IF(D183="","",D183+0.2)</f>
        <v>3.45</v>
      </c>
      <c r="F183" t="inlineStr"/>
    </row>
    <row r="184">
      <c r="A184" t="n">
        <v>184</v>
      </c>
      <c r="B184" t="inlineStr">
        <is>
          <t>Chupitos</t>
        </is>
      </c>
      <c r="C184" t="inlineStr">
        <is>
          <t>Chupito de Baileys</t>
        </is>
      </c>
      <c r="D184" s="2" t="n">
        <v>2.95</v>
      </c>
      <c r="E184" s="2">
        <f>IF(D184="","",D184+0.2)</f>
        <v>3.15</v>
      </c>
      <c r="F184" t="inlineStr"/>
    </row>
    <row r="185">
      <c r="A185" t="n">
        <v>185</v>
      </c>
      <c r="B185" t="inlineStr">
        <is>
          <t>Chupitos</t>
        </is>
      </c>
      <c r="C185" t="inlineStr">
        <is>
          <t>Grappa Nonino</t>
        </is>
      </c>
      <c r="D185" s="2" t="n">
        <v>3.5</v>
      </c>
      <c r="E185" s="2">
        <f>IF(D185="","",D185+0.2)</f>
        <v>3.7</v>
      </c>
      <c r="F185" t="inlineStr"/>
    </row>
    <row r="186">
      <c r="A186" t="n">
        <v>186</v>
      </c>
      <c r="B186" t="inlineStr">
        <is>
          <t>Chupitos</t>
        </is>
      </c>
      <c r="C186" t="inlineStr">
        <is>
          <t>Chupito de ron Zacapa</t>
        </is>
      </c>
      <c r="D186" s="2" t="n">
        <v>3.5</v>
      </c>
      <c r="E186" s="2">
        <f>IF(D186="","",D186+0.2)</f>
        <v>3.7</v>
      </c>
      <c r="F186" t="inlineStr"/>
    </row>
    <row r="187">
      <c r="A187" t="n">
        <v>187</v>
      </c>
      <c r="B187" t="inlineStr">
        <is>
          <t>Chupitos</t>
        </is>
      </c>
      <c r="C187" t="inlineStr">
        <is>
          <t>Chupito de whisky</t>
        </is>
      </c>
      <c r="D187" s="2" t="n">
        <v>2.75</v>
      </c>
      <c r="E187" s="2">
        <f>IF(D187="","",D187+0.2)</f>
        <v>2.95</v>
      </c>
      <c r="F187" t="inlineStr"/>
    </row>
    <row r="188">
      <c r="A188" t="n">
        <v>188</v>
      </c>
      <c r="B188" t="inlineStr">
        <is>
          <t>Chupitos</t>
        </is>
      </c>
      <c r="C188" t="inlineStr">
        <is>
          <t>Chupito de Jack Daniel's</t>
        </is>
      </c>
      <c r="D188" s="2" t="n">
        <v>4.5</v>
      </c>
      <c r="E188" s="2">
        <f>IF(D188="","",D188+0.2)</f>
        <v>4.7</v>
      </c>
      <c r="F188" t="inlineStr"/>
    </row>
    <row r="189">
      <c r="A189" t="n">
        <v>189</v>
      </c>
      <c r="B189" t="inlineStr">
        <is>
          <t>Chupitos</t>
        </is>
      </c>
      <c r="C189" t="inlineStr">
        <is>
          <t>Chupito de Glenrothes</t>
        </is>
      </c>
      <c r="D189" s="2" t="n">
        <v>3.75</v>
      </c>
      <c r="E189" s="2">
        <f>IF(D189="","",D189+0.2)</f>
        <v>3.95</v>
      </c>
      <c r="F189" t="inlineStr"/>
    </row>
    <row r="190">
      <c r="A190" t="n">
        <v>190</v>
      </c>
      <c r="B190" t="inlineStr">
        <is>
          <t>Chupitos</t>
        </is>
      </c>
      <c r="C190" t="inlineStr">
        <is>
          <t>Chupito de J&amp;B</t>
        </is>
      </c>
      <c r="D190" s="2" t="n">
        <v>2.95</v>
      </c>
      <c r="E190" s="2">
        <f>IF(D190="","",D190+0.2)</f>
        <v>3.15</v>
      </c>
      <c r="F190" t="inlineStr"/>
    </row>
    <row r="191">
      <c r="A191" t="n">
        <v>191</v>
      </c>
      <c r="B191" t="inlineStr">
        <is>
          <t>Chupitos</t>
        </is>
      </c>
      <c r="C191" t="inlineStr">
        <is>
          <t>Chupito de Chivas</t>
        </is>
      </c>
      <c r="D191" s="2" t="n">
        <v>2.25</v>
      </c>
      <c r="E191" s="2">
        <f>IF(D191="","",D191+0.2)</f>
        <v>2.45</v>
      </c>
      <c r="F191" t="inlineStr"/>
    </row>
    <row r="192">
      <c r="A192" t="n">
        <v>192</v>
      </c>
      <c r="B192" t="inlineStr">
        <is>
          <t>Chupitos</t>
        </is>
      </c>
      <c r="C192" t="inlineStr">
        <is>
          <t>Chupito de Cardhu</t>
        </is>
      </c>
      <c r="D192" s="2" t="n">
        <v>4.5</v>
      </c>
      <c r="E192" s="2">
        <f>IF(D192="","",D192+0.2)</f>
        <v>4.7</v>
      </c>
      <c r="F192" t="inlineStr"/>
    </row>
    <row r="193">
      <c r="A193" t="n">
        <v>193</v>
      </c>
      <c r="B193" t="inlineStr">
        <is>
          <t>Chupitos</t>
        </is>
      </c>
      <c r="C193" t="inlineStr">
        <is>
          <t>Chupito de Cutty Sark</t>
        </is>
      </c>
      <c r="D193" s="2" t="n">
        <v>2.75</v>
      </c>
      <c r="E193" s="2">
        <f>IF(D193="","",D193+0.2)</f>
        <v>2.95</v>
      </c>
      <c r="F193" t="inlineStr"/>
    </row>
    <row r="194">
      <c r="A194" s="3" t="n">
        <v>194</v>
      </c>
      <c r="B194" s="3" t="inlineStr">
        <is>
          <t>Chupitos</t>
        </is>
      </c>
      <c r="C194" s="3" t="inlineStr">
        <is>
          <t>Chupito de Johnnie Walker</t>
        </is>
      </c>
      <c r="D194" s="4" t="n">
        <v>7.5</v>
      </c>
      <c r="E194" s="4">
        <f>IF(D194="","",D194+0.2)</f>
        <v>7.7</v>
      </c>
      <c r="F194" s="3" t="inlineStr">
        <is>
          <t>Revisar: aparece más de una vez con precios distintos</t>
        </is>
      </c>
    </row>
    <row r="195">
      <c r="A195" t="n">
        <v>195</v>
      </c>
      <c r="B195" t="inlineStr">
        <is>
          <t>Chupitos</t>
        </is>
      </c>
      <c r="C195" t="inlineStr">
        <is>
          <t>Chupito de Magno</t>
        </is>
      </c>
      <c r="D195" s="2" t="n">
        <v>1.95</v>
      </c>
      <c r="E195" s="2">
        <f>IF(D195="","",D195+0.2)</f>
        <v>2.15</v>
      </c>
      <c r="F195" t="inlineStr"/>
    </row>
    <row r="196">
      <c r="A196" t="n">
        <v>196</v>
      </c>
      <c r="B196" t="inlineStr">
        <is>
          <t>Chupitos</t>
        </is>
      </c>
      <c r="C196" t="inlineStr">
        <is>
          <t>Cointreau</t>
        </is>
      </c>
      <c r="D196" s="2" t="n">
        <v>2.25</v>
      </c>
      <c r="E196" s="2">
        <f>IF(D196="","",D196+0.2)</f>
        <v>2.45</v>
      </c>
      <c r="F196" t="inlineStr"/>
    </row>
    <row r="197">
      <c r="A197" s="3" t="n">
        <v>197</v>
      </c>
      <c r="B197" s="3" t="inlineStr">
        <is>
          <t>Chupitos</t>
        </is>
      </c>
      <c r="C197" s="3" t="inlineStr">
        <is>
          <t>Chupito de Johnnie Walker</t>
        </is>
      </c>
      <c r="D197" s="4" t="n">
        <v>3.75</v>
      </c>
      <c r="E197" s="4">
        <f>IF(D197="","",D197+0.2)</f>
        <v>3.95</v>
      </c>
      <c r="F197" s="3" t="inlineStr">
        <is>
          <t>Revisar: aparece más de una vez con precios distintos</t>
        </is>
      </c>
    </row>
    <row r="198">
      <c r="A198" t="n">
        <v>198</v>
      </c>
      <c r="B198" t="inlineStr">
        <is>
          <t>Chupitos</t>
        </is>
      </c>
      <c r="C198" t="inlineStr">
        <is>
          <t>Chupito de Cuervo</t>
        </is>
      </c>
      <c r="D198" s="2" t="n">
        <v>2.5</v>
      </c>
      <c r="E198" s="2">
        <f>IF(D198="","",D198+0.2)</f>
        <v>2.7</v>
      </c>
      <c r="F198" t="inlineStr"/>
    </row>
    <row r="199">
      <c r="A199" t="n">
        <v>199</v>
      </c>
      <c r="B199" t="inlineStr">
        <is>
          <t>Chupitos</t>
        </is>
      </c>
      <c r="C199" t="inlineStr">
        <is>
          <t>Chupito de tequila</t>
        </is>
      </c>
      <c r="D199" s="2" t="n">
        <v>1.95</v>
      </c>
      <c r="E199" s="2">
        <f>IF(D199="","",D199+0.2)</f>
        <v>2.15</v>
      </c>
      <c r="F199" t="inlineStr"/>
    </row>
    <row r="200">
      <c r="A200" t="n">
        <v>200</v>
      </c>
      <c r="B200" t="inlineStr">
        <is>
          <t>Chupitos</t>
        </is>
      </c>
      <c r="C200" t="inlineStr">
        <is>
          <t>Chupito de pacharán</t>
        </is>
      </c>
      <c r="D200" s="2" t="n">
        <v>2.25</v>
      </c>
      <c r="E200" s="2">
        <f>IF(D200="","",D200+0.2)</f>
        <v>2.45</v>
      </c>
      <c r="F200" t="inlineStr"/>
    </row>
    <row r="201">
      <c r="A201" t="n">
        <v>201</v>
      </c>
      <c r="B201" t="inlineStr">
        <is>
          <t>Chupitos</t>
        </is>
      </c>
      <c r="C201" t="inlineStr">
        <is>
          <t>Chupito</t>
        </is>
      </c>
      <c r="D201" s="2" t="n">
        <v>2.75</v>
      </c>
      <c r="E201" s="2">
        <f>IF(D201="","",D201+0.2)</f>
        <v>2.95</v>
      </c>
      <c r="F201" t="inlineStr"/>
    </row>
    <row r="202">
      <c r="A202" t="n">
        <v>202</v>
      </c>
      <c r="B202" t="inlineStr">
        <is>
          <t>Chupitos</t>
        </is>
      </c>
      <c r="C202" t="inlineStr">
        <is>
          <t>Cubo de orujo</t>
        </is>
      </c>
      <c r="D202" s="2" t="n">
        <v>3.75</v>
      </c>
      <c r="E202" s="2">
        <f>IF(D202="","",D202+0.2)</f>
        <v>3.95</v>
      </c>
      <c r="F202" t="inlineStr"/>
    </row>
    <row r="203">
      <c r="A203" t="n">
        <v>203</v>
      </c>
      <c r="B203" t="inlineStr">
        <is>
          <t>Chupitos</t>
        </is>
      </c>
      <c r="C203" t="inlineStr">
        <is>
          <t>Tubo de Baileys</t>
        </is>
      </c>
      <c r="D203" s="2" t="n">
        <v>6.5</v>
      </c>
      <c r="E203" s="2">
        <f>IF(D203="","",D203+0.2)</f>
        <v>6.7</v>
      </c>
      <c r="F203" t="inlineStr"/>
    </row>
    <row r="204">
      <c r="A204" t="n">
        <v>204</v>
      </c>
      <c r="B204" t="inlineStr">
        <is>
          <t>Chupitos</t>
        </is>
      </c>
      <c r="C204" t="inlineStr">
        <is>
          <t>Tubo de orujo de hierbas</t>
        </is>
      </c>
      <c r="D204" s="2" t="n">
        <v>6</v>
      </c>
      <c r="E204" s="2">
        <f>IF(D204="","",D204+0.2)</f>
        <v>6.2</v>
      </c>
      <c r="F204" t="inlineStr"/>
    </row>
    <row r="205">
      <c r="A205" t="n">
        <v>205</v>
      </c>
      <c r="B205" t="inlineStr">
        <is>
          <t>Chupitos</t>
        </is>
      </c>
      <c r="C205" t="inlineStr">
        <is>
          <t>Tubo de limoncello</t>
        </is>
      </c>
      <c r="D205" s="2" t="n">
        <v>5.5</v>
      </c>
      <c r="E205" s="2">
        <f>IF(D205="","",D205+0.2)</f>
        <v>5.7</v>
      </c>
      <c r="F205" t="inlineStr"/>
    </row>
    <row r="206">
      <c r="A206" t="n">
        <v>206</v>
      </c>
      <c r="B206" t="inlineStr">
        <is>
          <t>Chupitos</t>
        </is>
      </c>
      <c r="C206" t="inlineStr">
        <is>
          <t>Tubo de crema de orujo</t>
        </is>
      </c>
      <c r="D206" s="2" t="n">
        <v>6</v>
      </c>
      <c r="E206" s="2">
        <f>IF(D206="","",D206+0.2)</f>
        <v>6.2</v>
      </c>
      <c r="F206" t="inlineStr"/>
    </row>
    <row r="207">
      <c r="A207" t="n">
        <v>207</v>
      </c>
      <c r="B207" t="inlineStr">
        <is>
          <t>Chupitos</t>
        </is>
      </c>
      <c r="C207" t="inlineStr">
        <is>
          <t>Tubo de orujo blanco</t>
        </is>
      </c>
      <c r="D207" s="2" t="n">
        <v>5.95</v>
      </c>
      <c r="E207" s="2">
        <f>IF(D207="","",D207+0.2)</f>
        <v>6.15</v>
      </c>
      <c r="F207" t="inlineStr"/>
    </row>
    <row r="208">
      <c r="A208" t="n">
        <v>208</v>
      </c>
      <c r="B208" t="inlineStr">
        <is>
          <t>Chupitos</t>
        </is>
      </c>
      <c r="C208" t="inlineStr">
        <is>
          <t>Tubo de pacharán</t>
        </is>
      </c>
      <c r="D208" s="2" t="n">
        <v>5.95</v>
      </c>
      <c r="E208" s="2">
        <f>IF(D208="","",D208+0.2)</f>
        <v>6.15</v>
      </c>
      <c r="F208" t="inlineStr"/>
    </row>
    <row r="209">
      <c r="A209" s="3" t="n">
        <v>209</v>
      </c>
      <c r="B209" s="3" t="inlineStr">
        <is>
          <t>Copas</t>
        </is>
      </c>
      <c r="C209" s="3" t="inlineStr">
        <is>
          <t>Copa de Magno</t>
        </is>
      </c>
      <c r="D209" s="4" t="n">
        <v>2.95</v>
      </c>
      <c r="E209" s="4">
        <f>IF(D209="","",D209+0.2)</f>
        <v>3.15</v>
      </c>
      <c r="F209" s="3" t="inlineStr">
        <is>
          <t>Revisar: aparece más de una vez con precios distintos</t>
        </is>
      </c>
    </row>
    <row r="210">
      <c r="A210" t="n">
        <v>210</v>
      </c>
      <c r="B210" t="inlineStr">
        <is>
          <t>Copas</t>
        </is>
      </c>
      <c r="C210" t="inlineStr">
        <is>
          <t>Veterano</t>
        </is>
      </c>
      <c r="D210" s="2" t="n">
        <v>1.7</v>
      </c>
      <c r="E210" s="2">
        <f>IF(D210="","",D210+0.2)</f>
        <v>1.9</v>
      </c>
      <c r="F210" t="inlineStr"/>
    </row>
    <row r="211">
      <c r="A211" t="n">
        <v>211</v>
      </c>
      <c r="B211" t="inlineStr">
        <is>
          <t>Copas</t>
        </is>
      </c>
      <c r="C211" t="inlineStr">
        <is>
          <t>Copa de whisky J&amp;B</t>
        </is>
      </c>
      <c r="D211" s="2" t="n">
        <v>5.5</v>
      </c>
      <c r="E211" s="2">
        <f>IF(D211="","",D211+0.2)</f>
        <v>5.7</v>
      </c>
      <c r="F211" t="inlineStr"/>
    </row>
    <row r="212">
      <c r="A212" t="n">
        <v>212</v>
      </c>
      <c r="B212" t="inlineStr">
        <is>
          <t>Copas</t>
        </is>
      </c>
      <c r="C212" t="inlineStr">
        <is>
          <t>Copa de ratafía</t>
        </is>
      </c>
      <c r="D212" s="2" t="n">
        <v>3.95</v>
      </c>
      <c r="E212" s="2">
        <f>IF(D212="","",D212+0.2)</f>
        <v>4.15</v>
      </c>
      <c r="F212" t="inlineStr"/>
    </row>
    <row r="213">
      <c r="A213" t="n">
        <v>213</v>
      </c>
      <c r="B213" t="inlineStr">
        <is>
          <t>Copas</t>
        </is>
      </c>
      <c r="C213" t="inlineStr">
        <is>
          <t>Copa de ron Pujol</t>
        </is>
      </c>
      <c r="D213" s="2" t="n">
        <v>3.5</v>
      </c>
      <c r="E213" s="2">
        <f>IF(D213="","",D213+0.2)</f>
        <v>3.7</v>
      </c>
      <c r="F213" t="inlineStr"/>
    </row>
    <row r="214">
      <c r="A214" t="n">
        <v>214</v>
      </c>
      <c r="B214" t="inlineStr">
        <is>
          <t>Copas</t>
        </is>
      </c>
      <c r="C214" t="inlineStr">
        <is>
          <t>Tubo de Ponche Caballero</t>
        </is>
      </c>
      <c r="D214" s="2" t="n">
        <v>5.95</v>
      </c>
      <c r="E214" s="2">
        <f>IF(D214="","",D214+0.2)</f>
        <v>6.15</v>
      </c>
      <c r="F214" t="inlineStr"/>
    </row>
    <row r="215">
      <c r="A215" t="n">
        <v>215</v>
      </c>
      <c r="B215" t="inlineStr">
        <is>
          <t>Copas</t>
        </is>
      </c>
      <c r="C215" t="inlineStr">
        <is>
          <t>Copa de Jack Daniel's</t>
        </is>
      </c>
      <c r="D215" s="2" t="n">
        <v>7.5</v>
      </c>
      <c r="E215" s="2">
        <f>IF(D215="","",D215+0.2)</f>
        <v>7.7</v>
      </c>
      <c r="F215" t="inlineStr"/>
    </row>
    <row r="216">
      <c r="A216" t="n">
        <v>216</v>
      </c>
      <c r="B216" t="inlineStr">
        <is>
          <t>Copas</t>
        </is>
      </c>
      <c r="C216" t="inlineStr">
        <is>
          <t>Cubo de Marie Brizard</t>
        </is>
      </c>
      <c r="D216" s="2" t="n">
        <v>4.7</v>
      </c>
      <c r="E216" s="2">
        <f>IF(D216="","",D216+0.2)</f>
        <v>4.9</v>
      </c>
      <c r="F216" t="inlineStr"/>
    </row>
    <row r="217">
      <c r="A217" s="3" t="n">
        <v>217</v>
      </c>
      <c r="B217" s="3" t="inlineStr">
        <is>
          <t>Copas</t>
        </is>
      </c>
      <c r="C217" s="3" t="inlineStr">
        <is>
          <t>Copa de Magno</t>
        </is>
      </c>
      <c r="D217" s="4" t="n">
        <v>3.15</v>
      </c>
      <c r="E217" s="4">
        <f>IF(D217="","",D217+0.2)</f>
        <v>3.35</v>
      </c>
      <c r="F217" s="3" t="inlineStr">
        <is>
          <t>Revisar: aparece más de una vez con precios distintos</t>
        </is>
      </c>
    </row>
    <row r="218">
      <c r="A218" t="n">
        <v>218</v>
      </c>
      <c r="B218" t="inlineStr">
        <is>
          <t>Copas</t>
        </is>
      </c>
      <c r="C218" t="inlineStr">
        <is>
          <t>Copa de Anís del Mono</t>
        </is>
      </c>
      <c r="D218" s="2" t="n">
        <v>3.35</v>
      </c>
      <c r="E218" s="2">
        <f>IF(D218="","",D218+0.2)</f>
        <v>3.55</v>
      </c>
      <c r="F218" t="inlineStr"/>
    </row>
    <row r="219">
      <c r="A219" t="n">
        <v>219</v>
      </c>
      <c r="B219" t="inlineStr">
        <is>
          <t>Copas</t>
        </is>
      </c>
      <c r="C219" t="inlineStr">
        <is>
          <t>Tubo de Jack Daniel's</t>
        </is>
      </c>
      <c r="D219" s="2" t="n">
        <v>7.5</v>
      </c>
      <c r="E219" s="2">
        <f>IF(D219="","",D219+0.2)</f>
        <v>7.7</v>
      </c>
      <c r="F219" t="inlineStr"/>
    </row>
    <row r="220">
      <c r="A220" t="n">
        <v>220</v>
      </c>
      <c r="B220" t="inlineStr">
        <is>
          <t>Copas</t>
        </is>
      </c>
      <c r="C220" t="inlineStr">
        <is>
          <t>Tubo de Ballantine's</t>
        </is>
      </c>
      <c r="D220" s="2" t="n">
        <v>5.95</v>
      </c>
      <c r="E220" s="2">
        <f>IF(D220="","",D220+0.2)</f>
        <v>6.15</v>
      </c>
      <c r="F220" t="inlineStr"/>
    </row>
    <row r="221">
      <c r="A221" t="n">
        <v>221</v>
      </c>
      <c r="B221" t="inlineStr">
        <is>
          <t>Copas</t>
        </is>
      </c>
      <c r="C221" t="inlineStr">
        <is>
          <t>Copa de Ponche Caballero</t>
        </is>
      </c>
      <c r="D221" s="2" t="n">
        <v>3.55</v>
      </c>
      <c r="E221" s="2">
        <f>IF(D221="","",D221+0.2)</f>
        <v>3.75</v>
      </c>
      <c r="F221" t="inlineStr"/>
    </row>
    <row r="222">
      <c r="A222" t="n">
        <v>222</v>
      </c>
      <c r="B222" t="inlineStr">
        <is>
          <t>Copas</t>
        </is>
      </c>
      <c r="C222" t="inlineStr">
        <is>
          <t>Tubo de Anís del Mono</t>
        </is>
      </c>
      <c r="D222" s="2" t="n">
        <v>3.95</v>
      </c>
      <c r="E222" s="2">
        <f>IF(D222="","",D222+0.2)</f>
        <v>4.15</v>
      </c>
      <c r="F222" t="inlineStr"/>
    </row>
    <row r="223">
      <c r="A223" t="n">
        <v>223</v>
      </c>
      <c r="B223" t="inlineStr">
        <is>
          <t>Copas</t>
        </is>
      </c>
      <c r="C223" t="inlineStr">
        <is>
          <t>Copa de Ballantine's</t>
        </is>
      </c>
      <c r="D223" s="2" t="n">
        <v>3.7</v>
      </c>
      <c r="E223" s="2">
        <f>IF(D223="","",D223+0.2)</f>
        <v>3.9</v>
      </c>
      <c r="F223" t="inlineStr"/>
    </row>
    <row r="224">
      <c r="A224" t="n">
        <v>224</v>
      </c>
      <c r="B224" t="inlineStr">
        <is>
          <t>Copas</t>
        </is>
      </c>
      <c r="C224" t="inlineStr">
        <is>
          <t>Tubo de Frangelico</t>
        </is>
      </c>
      <c r="D224" s="2" t="n">
        <v>4.25</v>
      </c>
      <c r="E224" s="2">
        <f>IF(D224="","",D224+0.2)</f>
        <v>4.45</v>
      </c>
      <c r="F224" t="inlineStr"/>
    </row>
    <row r="225">
      <c r="A225" t="n">
        <v>225</v>
      </c>
      <c r="B225" t="inlineStr">
        <is>
          <t>Copas</t>
        </is>
      </c>
      <c r="C225" t="inlineStr">
        <is>
          <t>Copa de Cardhu</t>
        </is>
      </c>
      <c r="D225" s="2" t="n">
        <v>8.5</v>
      </c>
      <c r="E225" s="2">
        <f>IF(D225="","",D225+0.2)</f>
        <v>8.7</v>
      </c>
      <c r="F225" t="inlineStr"/>
    </row>
    <row r="226">
      <c r="A226" t="n">
        <v>226</v>
      </c>
      <c r="B226" t="inlineStr">
        <is>
          <t>Copas</t>
        </is>
      </c>
      <c r="C226" t="inlineStr">
        <is>
          <t>Copa de pacharán</t>
        </is>
      </c>
      <c r="D226" s="2" t="n">
        <v>4.5</v>
      </c>
      <c r="E226" s="2">
        <f>IF(D226="","",D226+0.2)</f>
        <v>4.7</v>
      </c>
      <c r="F226" t="inlineStr"/>
    </row>
    <row r="227">
      <c r="A227" t="n">
        <v>227</v>
      </c>
      <c r="B227" t="inlineStr">
        <is>
          <t>Copas</t>
        </is>
      </c>
      <c r="C227" t="inlineStr">
        <is>
          <t>Copa de orujo de hierbas</t>
        </is>
      </c>
      <c r="D227" s="2" t="n">
        <v>4.5</v>
      </c>
      <c r="E227" s="2">
        <f>IF(D227="","",D227+0.2)</f>
        <v>4.7</v>
      </c>
      <c r="F227" t="inlineStr"/>
    </row>
    <row r="228">
      <c r="A228" t="n">
        <v>228</v>
      </c>
      <c r="B228" t="inlineStr">
        <is>
          <t>Copas</t>
        </is>
      </c>
      <c r="C228" t="inlineStr">
        <is>
          <t>Copa de orujo blanco</t>
        </is>
      </c>
      <c r="D228" s="2" t="n">
        <v>3.75</v>
      </c>
      <c r="E228" s="2">
        <f>IF(D228="","",D228+0.2)</f>
        <v>3.95</v>
      </c>
      <c r="F228" t="inlineStr"/>
    </row>
    <row r="229">
      <c r="A229" t="n">
        <v>229</v>
      </c>
      <c r="B229" t="inlineStr">
        <is>
          <t>Copas</t>
        </is>
      </c>
      <c r="C229" t="inlineStr">
        <is>
          <t>Copa de crema de orujo</t>
        </is>
      </c>
      <c r="D229" s="2" t="n">
        <v>3.75</v>
      </c>
      <c r="E229" s="2">
        <f>IF(D229="","",D229+0.2)</f>
        <v>3.95</v>
      </c>
      <c r="F229" t="inlineStr"/>
    </row>
    <row r="230">
      <c r="A230" t="n">
        <v>230</v>
      </c>
      <c r="B230" t="inlineStr">
        <is>
          <t>Copas</t>
        </is>
      </c>
      <c r="C230" t="inlineStr">
        <is>
          <t>Copa de Baileys</t>
        </is>
      </c>
      <c r="D230" s="2" t="n">
        <v>3.75</v>
      </c>
      <c r="E230" s="2">
        <f>IF(D230="","",D230+0.2)</f>
        <v>3.95</v>
      </c>
      <c r="F230" t="inlineStr"/>
    </row>
    <row r="231">
      <c r="A231" s="3" t="n">
        <v>231</v>
      </c>
      <c r="B231" s="3" t="inlineStr">
        <is>
          <t>Copas</t>
        </is>
      </c>
      <c r="C231" s="3" t="inlineStr">
        <is>
          <t>Copa de café</t>
        </is>
      </c>
      <c r="D231" s="4" t="n">
        <v>3.75</v>
      </c>
      <c r="E231" s="4">
        <f>IF(D231="","",D231+0.2)</f>
        <v>3.95</v>
      </c>
      <c r="F231" s="3" t="inlineStr">
        <is>
          <t>Revisar: no sé si es licor de café</t>
        </is>
      </c>
    </row>
    <row r="232">
      <c r="A232" t="n">
        <v>232</v>
      </c>
      <c r="B232" t="inlineStr">
        <is>
          <t>Cubatas</t>
        </is>
      </c>
      <c r="C232" t="inlineStr">
        <is>
          <t>Puerto de Indias</t>
        </is>
      </c>
      <c r="D232" s="2" t="n">
        <v>7.95</v>
      </c>
      <c r="E232" s="2">
        <f>IF(D232="","",D232+0.2)</f>
        <v>8.15</v>
      </c>
      <c r="F232" t="inlineStr"/>
    </row>
    <row r="233">
      <c r="A233" t="n">
        <v>233</v>
      </c>
      <c r="B233" t="inlineStr">
        <is>
          <t>Cubatas</t>
        </is>
      </c>
      <c r="C233" t="inlineStr">
        <is>
          <t>Bombay</t>
        </is>
      </c>
      <c r="D233" s="2" t="n">
        <v>8.5</v>
      </c>
      <c r="E233" s="2">
        <f>IF(D233="","",D233+0.2)</f>
        <v>8.7</v>
      </c>
      <c r="F233" t="inlineStr"/>
    </row>
    <row r="234">
      <c r="A234" t="n">
        <v>234</v>
      </c>
      <c r="B234" t="inlineStr">
        <is>
          <t>Cubatas</t>
        </is>
      </c>
      <c r="C234" t="inlineStr">
        <is>
          <t>Bacardí</t>
        </is>
      </c>
      <c r="D234" s="2" t="n">
        <v>7.8</v>
      </c>
      <c r="E234" s="2">
        <f>IF(D234="","",D234+0.2)</f>
        <v>8.0</v>
      </c>
      <c r="F234" t="inlineStr"/>
    </row>
    <row r="235">
      <c r="A235" t="n">
        <v>235</v>
      </c>
      <c r="B235" t="inlineStr">
        <is>
          <t>Cubatas</t>
        </is>
      </c>
      <c r="C235" t="inlineStr">
        <is>
          <t>Brugal</t>
        </is>
      </c>
      <c r="D235" s="2" t="n">
        <v>7.8</v>
      </c>
      <c r="E235" s="2">
        <f>IF(D235="","",D235+0.2)</f>
        <v>8.0</v>
      </c>
      <c r="F235" t="inlineStr"/>
    </row>
    <row r="236">
      <c r="A236" t="n">
        <v>236</v>
      </c>
      <c r="B236" t="inlineStr">
        <is>
          <t>Cubatas</t>
        </is>
      </c>
      <c r="C236" t="inlineStr">
        <is>
          <t>Cacique</t>
        </is>
      </c>
      <c r="D236" s="2" t="n">
        <v>7.75</v>
      </c>
      <c r="E236" s="2">
        <f>IF(D236="","",D236+0.2)</f>
        <v>7.95</v>
      </c>
      <c r="F236" t="inlineStr"/>
    </row>
    <row r="237">
      <c r="A237" t="n">
        <v>237</v>
      </c>
      <c r="B237" t="inlineStr">
        <is>
          <t>Cubatas</t>
        </is>
      </c>
      <c r="C237" t="inlineStr">
        <is>
          <t>Cubata Cutty Sark</t>
        </is>
      </c>
      <c r="D237" s="2" t="n">
        <v>7.7</v>
      </c>
      <c r="E237" s="2">
        <f>IF(D237="","",D237+0.2)</f>
        <v>7.9</v>
      </c>
      <c r="F237" t="inlineStr"/>
    </row>
    <row r="238">
      <c r="A238" t="n">
        <v>238</v>
      </c>
      <c r="B238" t="inlineStr">
        <is>
          <t>Cubatas</t>
        </is>
      </c>
      <c r="C238" t="inlineStr">
        <is>
          <t>Cubata J&amp;B</t>
        </is>
      </c>
      <c r="D238" s="2" t="n">
        <v>7.7</v>
      </c>
      <c r="E238" s="2">
        <f>IF(D238="","",D238+0.2)</f>
        <v>7.9</v>
      </c>
      <c r="F238" t="inlineStr"/>
    </row>
    <row r="239">
      <c r="A239" t="n">
        <v>239</v>
      </c>
      <c r="B239" t="inlineStr">
        <is>
          <t>Cubatas</t>
        </is>
      </c>
      <c r="C239" t="inlineStr">
        <is>
          <t>Cubata Ballantine's</t>
        </is>
      </c>
      <c r="D239" s="2" t="n">
        <v>7.7</v>
      </c>
      <c r="E239" s="2">
        <f>IF(D239="","",D239+0.2)</f>
        <v>7.9</v>
      </c>
      <c r="F239" t="inlineStr"/>
    </row>
    <row r="240">
      <c r="A240" t="n">
        <v>240</v>
      </c>
      <c r="B240" t="inlineStr">
        <is>
          <t>Cubatas</t>
        </is>
      </c>
      <c r="C240" t="inlineStr">
        <is>
          <t>Vodka</t>
        </is>
      </c>
      <c r="D240" s="2" t="n">
        <v>7.7</v>
      </c>
      <c r="E240" s="2">
        <f>IF(D240="","",D240+0.2)</f>
        <v>7.9</v>
      </c>
      <c r="F240" t="inlineStr"/>
    </row>
    <row r="241">
      <c r="A241" t="n">
        <v>241</v>
      </c>
      <c r="B241" t="inlineStr">
        <is>
          <t>Cubatas</t>
        </is>
      </c>
      <c r="C241" t="inlineStr">
        <is>
          <t>Jack Daniel's</t>
        </is>
      </c>
      <c r="D241" s="2" t="n">
        <v>8.5</v>
      </c>
      <c r="E241" s="2">
        <f>IF(D241="","",D241+0.2)</f>
        <v>8.7</v>
      </c>
      <c r="F241" t="inlineStr"/>
    </row>
    <row r="242">
      <c r="A242" t="n">
        <v>242</v>
      </c>
      <c r="B242" t="inlineStr">
        <is>
          <t>Cubatas</t>
        </is>
      </c>
      <c r="C242" t="inlineStr">
        <is>
          <t>Mojito</t>
        </is>
      </c>
      <c r="D242" s="2" t="n">
        <v>6.95</v>
      </c>
      <c r="E242" s="2">
        <f>IF(D242="","",D242+0.2)</f>
        <v>7.15</v>
      </c>
      <c r="F242" t="inlineStr"/>
    </row>
    <row r="243">
      <c r="A243" t="n">
        <v>243</v>
      </c>
      <c r="B243" t="inlineStr">
        <is>
          <t>Cubatas</t>
        </is>
      </c>
      <c r="C243" t="inlineStr">
        <is>
          <t>Beefeater</t>
        </is>
      </c>
      <c r="D243" s="2" t="n">
        <v>7.7</v>
      </c>
      <c r="E243" s="2">
        <f>IF(D243="","",D243+0.2)</f>
        <v>7.9</v>
      </c>
      <c r="F243" t="inlineStr"/>
    </row>
    <row r="244">
      <c r="A244" t="n">
        <v>244</v>
      </c>
      <c r="B244" t="inlineStr">
        <is>
          <t>Cubatas</t>
        </is>
      </c>
      <c r="C244" t="inlineStr">
        <is>
          <t>Seagram's con tónica</t>
        </is>
      </c>
      <c r="D244" s="2" t="n">
        <v>7.95</v>
      </c>
      <c r="E244" s="2">
        <f>IF(D244="","",D244+0.2)</f>
        <v>8.15</v>
      </c>
      <c r="F244" t="inlineStr"/>
    </row>
    <row r="245">
      <c r="A245" t="n">
        <v>245</v>
      </c>
      <c r="B245" t="inlineStr">
        <is>
          <t>Cubatas</t>
        </is>
      </c>
      <c r="C245" t="inlineStr">
        <is>
          <t>Four Roses</t>
        </is>
      </c>
      <c r="D245" s="2" t="n">
        <v>6.5</v>
      </c>
      <c r="E245" s="2">
        <f>IF(D245="","",D245+0.2)</f>
        <v>6.7</v>
      </c>
      <c r="F245" t="inlineStr"/>
    </row>
    <row r="246">
      <c r="A246" t="n">
        <v>246</v>
      </c>
      <c r="B246" t="inlineStr">
        <is>
          <t>Ensaladas, menús y combinados</t>
        </is>
      </c>
      <c r="C246" t="inlineStr">
        <is>
          <t>Ensalada de pollo</t>
        </is>
      </c>
      <c r="D246" s="2" t="n">
        <v>5.5</v>
      </c>
      <c r="E246" s="2">
        <f>IF(D246="","",D246+0.2)</f>
        <v>5.7</v>
      </c>
      <c r="F246" t="inlineStr"/>
    </row>
    <row r="247">
      <c r="A247" t="n">
        <v>247</v>
      </c>
      <c r="B247" t="inlineStr">
        <is>
          <t>Ensaladas, menús y combinados</t>
        </is>
      </c>
      <c r="C247" t="inlineStr">
        <is>
          <t>Ensalada de queso</t>
        </is>
      </c>
      <c r="D247" s="2" t="n">
        <v>7.5</v>
      </c>
      <c r="E247" s="2">
        <f>IF(D247="","",D247+0.2)</f>
        <v>7.7</v>
      </c>
      <c r="F247" t="inlineStr"/>
    </row>
    <row r="248">
      <c r="A248" t="n">
        <v>248</v>
      </c>
      <c r="B248" t="inlineStr">
        <is>
          <t>Ensaladas, menús y combinados</t>
        </is>
      </c>
      <c r="C248" t="inlineStr">
        <is>
          <t>Ensalada verde</t>
        </is>
      </c>
      <c r="D248" s="2" t="n">
        <v>5.7</v>
      </c>
      <c r="E248" s="2">
        <f>IF(D248="","",D248+0.2)</f>
        <v>5.9</v>
      </c>
      <c r="F248" t="inlineStr"/>
    </row>
    <row r="249">
      <c r="A249" t="n">
        <v>249</v>
      </c>
      <c r="B249" t="inlineStr">
        <is>
          <t>Ensaladas, menús y combinados</t>
        </is>
      </c>
      <c r="C249" t="inlineStr">
        <is>
          <t>Ensalada Els Tr3s</t>
        </is>
      </c>
      <c r="D249" s="2" t="n">
        <v>7.95</v>
      </c>
      <c r="E249" s="2">
        <f>IF(D249="","",D249+0.2)</f>
        <v>8.15</v>
      </c>
      <c r="F249" t="inlineStr"/>
    </row>
    <row r="250">
      <c r="A250" t="n">
        <v>250</v>
      </c>
      <c r="B250" t="inlineStr">
        <is>
          <t>Ensaladas, menús y combinados</t>
        </is>
      </c>
      <c r="C250" t="inlineStr">
        <is>
          <t>Menú especial</t>
        </is>
      </c>
      <c r="D250" s="2" t="n">
        <v>13.5</v>
      </c>
      <c r="E250" s="2">
        <f>IF(D250="","",D250+0.2)</f>
        <v>13.7</v>
      </c>
      <c r="F250" t="inlineStr"/>
    </row>
    <row r="251">
      <c r="A251" t="n">
        <v>251</v>
      </c>
      <c r="B251" t="inlineStr">
        <is>
          <t>Ensaladas, menús y combinados</t>
        </is>
      </c>
      <c r="C251" t="inlineStr">
        <is>
          <t>Menú</t>
        </is>
      </c>
      <c r="D251" s="2" t="n">
        <v>9.949999999999999</v>
      </c>
      <c r="E251" s="2">
        <f>IF(D251="","",D251+0.2)</f>
        <v>10.15</v>
      </c>
      <c r="F251" t="inlineStr"/>
    </row>
    <row r="252">
      <c r="A252" t="n">
        <v>252</v>
      </c>
      <c r="B252" t="inlineStr">
        <is>
          <t>Ensaladas, menús y combinados</t>
        </is>
      </c>
      <c r="C252" t="inlineStr">
        <is>
          <t>Sepia a la plancha con guarnición</t>
        </is>
      </c>
      <c r="D252" s="2" t="n">
        <v>10.25</v>
      </c>
      <c r="E252" s="2">
        <f>IF(D252="","",D252+0.2)</f>
        <v>10.45</v>
      </c>
      <c r="F252" t="inlineStr"/>
    </row>
    <row r="253">
      <c r="A253" t="n">
        <v>253</v>
      </c>
      <c r="B253" t="inlineStr">
        <is>
          <t>Ensaladas, menús y combinados</t>
        </is>
      </c>
      <c r="C253" t="inlineStr">
        <is>
          <t>Entrecot con guarnición</t>
        </is>
      </c>
      <c r="D253" s="2" t="n">
        <v>13.95</v>
      </c>
      <c r="E253" s="2">
        <f>IF(D253="","",D253+0.2)</f>
        <v>14.15</v>
      </c>
      <c r="F253" t="inlineStr"/>
    </row>
    <row r="254">
      <c r="A254" t="n">
        <v>254</v>
      </c>
      <c r="B254" t="inlineStr">
        <is>
          <t>Ensaladas, menús y combinados</t>
        </is>
      </c>
      <c r="C254" t="inlineStr">
        <is>
          <t>Paella</t>
        </is>
      </c>
      <c r="D254" s="2" t="n">
        <v>6.5</v>
      </c>
      <c r="E254" s="2">
        <f>IF(D254="","",D254+0.2)</f>
        <v>6.7</v>
      </c>
      <c r="F254" t="inlineStr"/>
    </row>
    <row r="255">
      <c r="A255" t="n">
        <v>255</v>
      </c>
      <c r="B255" t="inlineStr">
        <is>
          <t>Ensaladas, menús y combinados</t>
        </is>
      </c>
      <c r="C255" t="inlineStr">
        <is>
          <t>Menú Uri</t>
        </is>
      </c>
      <c r="D255" s="2" t="n">
        <v>10</v>
      </c>
      <c r="E255" s="2">
        <f>IF(D255="","",D255+0.2)</f>
        <v>10.2</v>
      </c>
      <c r="F255" t="inlineStr"/>
    </row>
    <row r="256">
      <c r="A256" t="n">
        <v>256</v>
      </c>
      <c r="B256" t="inlineStr">
        <is>
          <t>Ensaladas, menús y combinados</t>
        </is>
      </c>
      <c r="C256" t="inlineStr">
        <is>
          <t>Fideuá</t>
        </is>
      </c>
      <c r="D256" s="2" t="n">
        <v>5.5</v>
      </c>
      <c r="E256" s="2">
        <f>IF(D256="","",D256+0.2)</f>
        <v>5.7</v>
      </c>
      <c r="F256" t="inlineStr"/>
    </row>
    <row r="257">
      <c r="A257" t="n">
        <v>257</v>
      </c>
      <c r="B257" t="inlineStr">
        <is>
          <t>Ensaladas, menús y combinados</t>
        </is>
      </c>
      <c r="C257" t="inlineStr">
        <is>
          <t>Amanida braves butifarra</t>
        </is>
      </c>
      <c r="D257" s="2" t="n">
        <v>12.5</v>
      </c>
      <c r="E257" s="2">
        <f>IF(D257="","",D257+0.2)</f>
        <v>12.7</v>
      </c>
      <c r="F257" t="inlineStr"/>
    </row>
    <row r="258">
      <c r="A258" t="n">
        <v>258</v>
      </c>
      <c r="B258" t="inlineStr">
        <is>
          <t>Ensaladas, menús y combinados</t>
        </is>
      </c>
      <c r="C258" t="inlineStr">
        <is>
          <t>Amanida pollastre patates fregides</t>
        </is>
      </c>
      <c r="D258" s="2" t="n">
        <v>12.5</v>
      </c>
      <c r="E258" s="2">
        <f>IF(D258="","",D258+0.2)</f>
        <v>12.7</v>
      </c>
      <c r="F258" t="inlineStr"/>
    </row>
    <row r="259">
      <c r="A259" t="n">
        <v>259</v>
      </c>
      <c r="B259" t="inlineStr">
        <is>
          <t>Ensaladas, menús y combinados</t>
        </is>
      </c>
      <c r="C259" t="inlineStr">
        <is>
          <t>Combinado 3</t>
        </is>
      </c>
      <c r="D259" s="2" t="n">
        <v>9.5</v>
      </c>
      <c r="E259" s="2">
        <f>IF(D259="","",D259+0.2)</f>
        <v>9.7</v>
      </c>
      <c r="F259" t="inlineStr"/>
    </row>
    <row r="260">
      <c r="A260" t="n">
        <v>260</v>
      </c>
      <c r="B260" t="inlineStr">
        <is>
          <t>Ensaladas, menús y combinados</t>
        </is>
      </c>
      <c r="C260" t="inlineStr">
        <is>
          <t>Combinado 4</t>
        </is>
      </c>
      <c r="D260" s="2" t="n">
        <v>12.95</v>
      </c>
      <c r="E260" s="2">
        <f>IF(D260="","",D260+0.2)</f>
        <v>13.15</v>
      </c>
      <c r="F260" t="inlineStr"/>
    </row>
    <row r="261">
      <c r="A261" t="n">
        <v>261</v>
      </c>
      <c r="B261" t="inlineStr">
        <is>
          <t>Ensaladas, menús y combinados</t>
        </is>
      </c>
      <c r="C261" t="inlineStr">
        <is>
          <t>Combinado 5</t>
        </is>
      </c>
      <c r="D261" s="2" t="n">
        <v>9.5</v>
      </c>
      <c r="E261" s="2">
        <f>IF(D261="","",D261+0.2)</f>
        <v>9.7</v>
      </c>
      <c r="F261" t="inlineStr"/>
    </row>
    <row r="262">
      <c r="A262" t="n">
        <v>262</v>
      </c>
      <c r="B262" t="inlineStr">
        <is>
          <t>Ensaladas, menús y combinados</t>
        </is>
      </c>
      <c r="C262" t="inlineStr">
        <is>
          <t>Combinado 6</t>
        </is>
      </c>
      <c r="D262" s="2" t="n">
        <v>9.5</v>
      </c>
      <c r="E262" s="2">
        <f>IF(D262="","",D262+0.2)</f>
        <v>9.7</v>
      </c>
      <c r="F262" t="inlineStr"/>
    </row>
    <row r="263">
      <c r="A263" t="n">
        <v>263</v>
      </c>
      <c r="B263" t="inlineStr">
        <is>
          <t>Ensaladas, menús y combinados</t>
        </is>
      </c>
      <c r="C263" t="inlineStr">
        <is>
          <t>Combinado 7</t>
        </is>
      </c>
      <c r="D263" s="2" t="n">
        <v>12.95</v>
      </c>
      <c r="E263" s="2">
        <f>IF(D263="","",D263+0.2)</f>
        <v>13.15</v>
      </c>
      <c r="F263" t="inlineStr"/>
    </row>
    <row r="264">
      <c r="A264" t="n">
        <v>264</v>
      </c>
      <c r="B264" t="inlineStr">
        <is>
          <t>Ensaladas, menús y combinados</t>
        </is>
      </c>
      <c r="C264" t="inlineStr">
        <is>
          <t>Combinado 8</t>
        </is>
      </c>
      <c r="D264" s="2" t="n">
        <v>12.75</v>
      </c>
      <c r="E264" s="2">
        <f>IF(D264="","",D264+0.2)</f>
        <v>12.95</v>
      </c>
      <c r="F264" t="inlineStr"/>
    </row>
    <row r="265">
      <c r="A265" t="n">
        <v>265</v>
      </c>
      <c r="B265" t="inlineStr">
        <is>
          <t>Ensaladas, menús y combinados</t>
        </is>
      </c>
      <c r="C265" t="inlineStr">
        <is>
          <t>Combinado 9</t>
        </is>
      </c>
      <c r="D265" s="2" t="n">
        <v>9.5</v>
      </c>
      <c r="E265" s="2">
        <f>IF(D265="","",D265+0.2)</f>
        <v>9.7</v>
      </c>
      <c r="F265" t="inlineStr"/>
    </row>
    <row r="266">
      <c r="A266" t="n">
        <v>266</v>
      </c>
      <c r="B266" t="inlineStr">
        <is>
          <t>Ensaladas, menús y combinados</t>
        </is>
      </c>
      <c r="C266" t="inlineStr">
        <is>
          <t>Combinado especial 1 (chistorra)</t>
        </is>
      </c>
      <c r="D266" s="2" t="n">
        <v>9.15</v>
      </c>
      <c r="E266" s="2">
        <f>IF(D266="","",D266+0.2)</f>
        <v>9.35</v>
      </c>
      <c r="F266" t="inlineStr"/>
    </row>
    <row r="267">
      <c r="A267" t="n">
        <v>267</v>
      </c>
      <c r="B267" t="inlineStr">
        <is>
          <t>Ensaladas, menús y combinados</t>
        </is>
      </c>
      <c r="C267" t="inlineStr">
        <is>
          <t>Combinado especial 2 (entrecot)</t>
        </is>
      </c>
      <c r="D267" s="2" t="n">
        <v>16.95</v>
      </c>
      <c r="E267" s="2">
        <f>IF(D267="","",D267+0.2)</f>
        <v>17.15</v>
      </c>
      <c r="F267" t="inlineStr"/>
    </row>
    <row r="268">
      <c r="A268" t="n">
        <v>268</v>
      </c>
      <c r="B268" t="inlineStr">
        <is>
          <t>Ensaladas, menús y combinados</t>
        </is>
      </c>
      <c r="C268" t="inlineStr">
        <is>
          <t>Combinado especial 3 (churrasco)</t>
        </is>
      </c>
      <c r="D268" s="2" t="n">
        <v>7.95</v>
      </c>
      <c r="E268" s="2">
        <f>IF(D268="","",D268+0.2)</f>
        <v>8.15</v>
      </c>
      <c r="F268" t="inlineStr"/>
    </row>
    <row r="269">
      <c r="A269" t="n">
        <v>269</v>
      </c>
      <c r="B269" t="inlineStr">
        <is>
          <t>Ensaladas, menús y combinados</t>
        </is>
      </c>
      <c r="C269" t="inlineStr">
        <is>
          <t>Combinado especial 4 (sepia)</t>
        </is>
      </c>
      <c r="D269" s="2" t="n">
        <v>14.95</v>
      </c>
      <c r="E269" s="2">
        <f>IF(D269="","",D269+0.2)</f>
        <v>15.15</v>
      </c>
      <c r="F269" t="inlineStr"/>
    </row>
    <row r="270">
      <c r="A270" t="n">
        <v>270</v>
      </c>
      <c r="B270" t="inlineStr">
        <is>
          <t>Ensaladas, menús y combinados</t>
        </is>
      </c>
      <c r="C270" t="inlineStr">
        <is>
          <t>Combinado especial 5 (merluza)</t>
        </is>
      </c>
      <c r="D270" s="2" t="n">
        <v>7.95</v>
      </c>
      <c r="E270" s="2">
        <f>IF(D270="","",D270+0.2)</f>
        <v>8.15</v>
      </c>
      <c r="F270" t="inlineStr"/>
    </row>
    <row r="271">
      <c r="A271" t="n">
        <v>271</v>
      </c>
      <c r="B271" t="inlineStr">
        <is>
          <t>Ensaladas, menús y combinados</t>
        </is>
      </c>
      <c r="C271" t="inlineStr">
        <is>
          <t>Menú infantil</t>
        </is>
      </c>
      <c r="D271" s="2" t="n">
        <v>11.5</v>
      </c>
      <c r="E271" s="2">
        <f>IF(D271="","",D271+0.2)</f>
        <v>11.7</v>
      </c>
      <c r="F271" t="inlineStr"/>
    </row>
    <row r="272">
      <c r="A272" t="n">
        <v>272</v>
      </c>
      <c r="B272" t="inlineStr">
        <is>
          <t>Ensaladas, menús y combinados</t>
        </is>
      </c>
      <c r="C272" t="inlineStr">
        <is>
          <t>Menú IO</t>
        </is>
      </c>
      <c r="D272" s="2" t="n">
        <v>5.75</v>
      </c>
      <c r="E272" s="2">
        <f>IF(D272="","",D272+0.2)</f>
        <v>5.95</v>
      </c>
      <c r="F272" t="inlineStr"/>
    </row>
    <row r="273">
      <c r="A273" t="n">
        <v>273</v>
      </c>
      <c r="B273" t="inlineStr">
        <is>
          <t>Postres</t>
        </is>
      </c>
      <c r="C273" t="inlineStr">
        <is>
          <t>Tarta de whisky</t>
        </is>
      </c>
      <c r="D273" s="2" t="n">
        <v>4.55</v>
      </c>
      <c r="E273" s="2">
        <f>IF(D273="","",D273+0.2)</f>
        <v>4.75</v>
      </c>
      <c r="F273" t="inlineStr"/>
    </row>
    <row r="274">
      <c r="A274" t="n">
        <v>274</v>
      </c>
      <c r="B274" t="inlineStr">
        <is>
          <t>Postres</t>
        </is>
      </c>
      <c r="C274" t="inlineStr">
        <is>
          <t>Tarta dulce</t>
        </is>
      </c>
      <c r="D274" s="2" t="n">
        <v>4.55</v>
      </c>
      <c r="E274" s="2">
        <f>IF(D274="","",D274+0.2)</f>
        <v>4.75</v>
      </c>
      <c r="F274" t="inlineStr"/>
    </row>
    <row r="275">
      <c r="A275" t="n">
        <v>275</v>
      </c>
      <c r="B275" t="inlineStr">
        <is>
          <t>Postres</t>
        </is>
      </c>
      <c r="C275" t="inlineStr">
        <is>
          <t>Naranja o plátano</t>
        </is>
      </c>
      <c r="D275" s="2" t="n">
        <v>3.5</v>
      </c>
      <c r="E275" s="2">
        <f>IF(D275="","",D275+0.2)</f>
        <v>3.7</v>
      </c>
      <c r="F275" t="inlineStr"/>
    </row>
    <row r="276">
      <c r="A276" t="n">
        <v>276</v>
      </c>
      <c r="B276" t="inlineStr">
        <is>
          <t>Postres</t>
        </is>
      </c>
      <c r="C276" t="inlineStr">
        <is>
          <t>Tarta de queso</t>
        </is>
      </c>
      <c r="D276" s="2" t="n">
        <v>4.95</v>
      </c>
      <c r="E276" s="2">
        <f>IF(D276="","",D276+0.2)</f>
        <v>5.15</v>
      </c>
      <c r="F276" t="inlineStr"/>
    </row>
    <row r="277">
      <c r="A277" t="n">
        <v>277</v>
      </c>
      <c r="B277" t="inlineStr">
        <is>
          <t>Postres</t>
        </is>
      </c>
      <c r="C277" t="inlineStr">
        <is>
          <t>Arroz con leche</t>
        </is>
      </c>
      <c r="D277" s="2" t="n">
        <v>3.25</v>
      </c>
      <c r="E277" s="2">
        <f>IF(D277="","",D277+0.2)</f>
        <v>3.45</v>
      </c>
      <c r="F277" t="inlineStr"/>
    </row>
    <row r="278">
      <c r="A278" t="n">
        <v>278</v>
      </c>
      <c r="B278" t="inlineStr">
        <is>
          <t>Postres</t>
        </is>
      </c>
      <c r="C278" t="inlineStr">
        <is>
          <t>Yogur</t>
        </is>
      </c>
      <c r="D278" s="2" t="n">
        <v>1.95</v>
      </c>
      <c r="E278" s="2">
        <f>IF(D278="","",D278+0.2)</f>
        <v>2.15</v>
      </c>
      <c r="F278" t="inlineStr"/>
    </row>
    <row r="279">
      <c r="A279" t="n">
        <v>279</v>
      </c>
      <c r="B279" t="inlineStr">
        <is>
          <t>Postres</t>
        </is>
      </c>
      <c r="C279" t="inlineStr">
        <is>
          <t>Tarta brownie</t>
        </is>
      </c>
      <c r="D279" s="2" t="n">
        <v>3.55</v>
      </c>
      <c r="E279" s="2">
        <f>IF(D279="","",D279+0.2)</f>
        <v>3.75</v>
      </c>
      <c r="F279" t="inlineStr"/>
    </row>
    <row r="280">
      <c r="A280" t="n">
        <v>280</v>
      </c>
      <c r="B280" t="inlineStr">
        <is>
          <t>Postres</t>
        </is>
      </c>
      <c r="C280" t="inlineStr">
        <is>
          <t>Helado de la casa</t>
        </is>
      </c>
      <c r="D280" s="2" t="n">
        <v>4.55</v>
      </c>
      <c r="E280" s="2">
        <f>IF(D280="","",D280+0.2)</f>
        <v>4.75</v>
      </c>
      <c r="F280" t="inlineStr"/>
    </row>
    <row r="281">
      <c r="A281" t="n">
        <v>281</v>
      </c>
      <c r="B281" t="inlineStr">
        <is>
          <t>Postres</t>
        </is>
      </c>
      <c r="C281" t="inlineStr">
        <is>
          <t>Flan</t>
        </is>
      </c>
      <c r="D281" s="2" t="n">
        <v>3.45</v>
      </c>
      <c r="E281" s="2">
        <f>IF(D281="","",D281+0.2)</f>
        <v>3.65</v>
      </c>
      <c r="F281" t="inlineStr"/>
    </row>
    <row r="282">
      <c r="A282" t="n">
        <v>282</v>
      </c>
      <c r="B282" t="inlineStr">
        <is>
          <t>Postres</t>
        </is>
      </c>
      <c r="C282" t="inlineStr">
        <is>
          <t>Coulant de chocolate</t>
        </is>
      </c>
      <c r="D282" s="2" t="n">
        <v>3.55</v>
      </c>
      <c r="E282" s="2">
        <f>IF(D282="","",D282+0.2)</f>
        <v>3.75</v>
      </c>
      <c r="F282" t="inlineStr"/>
    </row>
    <row r="283">
      <c r="A283" t="n">
        <v>283</v>
      </c>
      <c r="B283" t="inlineStr">
        <is>
          <t>Postres</t>
        </is>
      </c>
      <c r="C283" t="inlineStr">
        <is>
          <t>Tarta de zanahoria</t>
        </is>
      </c>
      <c r="D283" s="2" t="n">
        <v>4.75</v>
      </c>
      <c r="E283" s="2">
        <f>IF(D283="","",D283+0.2)</f>
        <v>4.95</v>
      </c>
      <c r="F283" t="inlineStr"/>
    </row>
    <row r="284">
      <c r="A284" t="n">
        <v>285</v>
      </c>
      <c r="B284" t="inlineStr">
        <is>
          <t>Postres</t>
        </is>
      </c>
      <c r="C284" t="inlineStr">
        <is>
          <t>Cornetto de chocolate</t>
        </is>
      </c>
      <c r="D284" s="2" t="n">
        <v>2.95</v>
      </c>
      <c r="E284" s="2">
        <f>IF(D284="","",D284+0.2)</f>
        <v>3.15</v>
      </c>
      <c r="F284" t="inlineStr"/>
    </row>
    <row r="285">
      <c r="A285" t="n">
        <v>287</v>
      </c>
      <c r="B285" t="inlineStr">
        <is>
          <t>Postres</t>
        </is>
      </c>
      <c r="C285" t="inlineStr">
        <is>
          <t>Almendrado</t>
        </is>
      </c>
      <c r="D285" s="2" t="n">
        <v>3.25</v>
      </c>
      <c r="E285" s="2">
        <f>IF(D285="","",D285+0.2)</f>
        <v>3.45</v>
      </c>
      <c r="F285" t="inlineStr"/>
    </row>
    <row r="286">
      <c r="A286" t="n">
        <v>288</v>
      </c>
      <c r="B286" t="inlineStr">
        <is>
          <t>Refrescos</t>
        </is>
      </c>
      <c r="C286" t="inlineStr">
        <is>
          <t>Coca-Cola</t>
        </is>
      </c>
      <c r="D286" s="2" t="n">
        <v>2.35</v>
      </c>
      <c r="E286" s="2">
        <f>IF(D286="","",D286+0.2)</f>
        <v>2.55</v>
      </c>
      <c r="F286" t="inlineStr"/>
    </row>
    <row r="287">
      <c r="A287" t="n">
        <v>289</v>
      </c>
      <c r="B287" t="inlineStr">
        <is>
          <t>Refrescos</t>
        </is>
      </c>
      <c r="C287" t="inlineStr">
        <is>
          <t>Fanta naranja</t>
        </is>
      </c>
      <c r="D287" s="2" t="n">
        <v>2.35</v>
      </c>
      <c r="E287" s="2">
        <f>IF(D287="","",D287+0.2)</f>
        <v>2.55</v>
      </c>
      <c r="F287" t="inlineStr"/>
    </row>
    <row r="288">
      <c r="A288" t="n">
        <v>290</v>
      </c>
      <c r="B288" t="inlineStr">
        <is>
          <t>Refrescos</t>
        </is>
      </c>
      <c r="C288" t="inlineStr">
        <is>
          <t>Fanta limón</t>
        </is>
      </c>
      <c r="D288" s="2" t="n">
        <v>2.35</v>
      </c>
      <c r="E288" s="2">
        <f>IF(D288="","",D288+0.2)</f>
        <v>2.55</v>
      </c>
      <c r="F288" t="inlineStr"/>
    </row>
    <row r="289">
      <c r="A289" t="n">
        <v>291</v>
      </c>
      <c r="B289" t="inlineStr">
        <is>
          <t>Refrescos</t>
        </is>
      </c>
      <c r="C289" t="inlineStr">
        <is>
          <t>Aquarius</t>
        </is>
      </c>
      <c r="D289" s="2" t="n">
        <v>2.35</v>
      </c>
      <c r="E289" s="2">
        <f>IF(D289="","",D289+0.2)</f>
        <v>2.55</v>
      </c>
      <c r="F289" t="inlineStr"/>
    </row>
    <row r="290">
      <c r="A290" t="n">
        <v>292</v>
      </c>
      <c r="B290" t="inlineStr">
        <is>
          <t>Refrescos</t>
        </is>
      </c>
      <c r="C290" t="inlineStr">
        <is>
          <t>Tónica</t>
        </is>
      </c>
      <c r="D290" s="2" t="n">
        <v>2.35</v>
      </c>
      <c r="E290" s="2">
        <f>IF(D290="","",D290+0.2)</f>
        <v>2.55</v>
      </c>
      <c r="F290" t="inlineStr"/>
    </row>
    <row r="291">
      <c r="A291" t="n">
        <v>293</v>
      </c>
      <c r="B291" t="inlineStr">
        <is>
          <t>Refrescos</t>
        </is>
      </c>
      <c r="C291" t="inlineStr">
        <is>
          <t>Trina limón</t>
        </is>
      </c>
      <c r="D291" s="2" t="n">
        <v>2.35</v>
      </c>
      <c r="E291" s="2">
        <f>IF(D291="","",D291+0.2)</f>
        <v>2.55</v>
      </c>
      <c r="F291" t="inlineStr"/>
    </row>
    <row r="292">
      <c r="A292" s="3" t="n">
        <v>294</v>
      </c>
      <c r="B292" s="3" t="inlineStr">
        <is>
          <t>Refrescos</t>
        </is>
      </c>
      <c r="C292" s="3" t="inlineStr">
        <is>
          <t>Aquarius naranja</t>
        </is>
      </c>
      <c r="D292" s="4" t="n">
        <v>2.35</v>
      </c>
      <c r="E292" s="4">
        <f>IF(D292="","",D292+0.2)</f>
        <v>2.55</v>
      </c>
      <c r="F292" s="3" t="inlineStr">
        <is>
          <t>Revisar: aparece más de una vez con precios distintos</t>
        </is>
      </c>
    </row>
    <row r="293">
      <c r="A293" t="n">
        <v>295</v>
      </c>
      <c r="B293" t="inlineStr">
        <is>
          <t>Refrescos</t>
        </is>
      </c>
      <c r="C293" t="inlineStr">
        <is>
          <t>Vichy Catalán</t>
        </is>
      </c>
      <c r="D293" s="2" t="n">
        <v>2.35</v>
      </c>
      <c r="E293" s="2">
        <f>IF(D293="","",D293+0.2)</f>
        <v>2.55</v>
      </c>
      <c r="F293" t="inlineStr"/>
    </row>
    <row r="294">
      <c r="A294" t="n">
        <v>296</v>
      </c>
      <c r="B294" t="inlineStr">
        <is>
          <t>Refrescos</t>
        </is>
      </c>
      <c r="C294" t="inlineStr">
        <is>
          <t>Zumo de melocotón</t>
        </is>
      </c>
      <c r="D294" s="2" t="n">
        <v>2.35</v>
      </c>
      <c r="E294" s="2">
        <f>IF(D294="","",D294+0.2)</f>
        <v>2.55</v>
      </c>
      <c r="F294" t="inlineStr"/>
    </row>
    <row r="295">
      <c r="A295" t="n">
        <v>297</v>
      </c>
      <c r="B295" t="inlineStr">
        <is>
          <t>Refrescos</t>
        </is>
      </c>
      <c r="C295" t="inlineStr">
        <is>
          <t>Zumo de naranja</t>
        </is>
      </c>
      <c r="D295" s="2" t="n">
        <v>2.35</v>
      </c>
      <c r="E295" s="2">
        <f>IF(D295="","",D295+0.2)</f>
        <v>2.55</v>
      </c>
      <c r="F295" t="inlineStr"/>
    </row>
    <row r="296">
      <c r="A296" t="n">
        <v>298</v>
      </c>
      <c r="B296" t="inlineStr">
        <is>
          <t>Refrescos</t>
        </is>
      </c>
      <c r="C296" t="inlineStr">
        <is>
          <t>Zumo de naranja natural</t>
        </is>
      </c>
      <c r="D296" s="2" t="n">
        <v>3.15</v>
      </c>
      <c r="E296" s="2">
        <f>IF(D296="","",D296+0.2)</f>
        <v>3.35</v>
      </c>
      <c r="F296" t="inlineStr"/>
    </row>
    <row r="297">
      <c r="A297" t="n">
        <v>299</v>
      </c>
      <c r="B297" t="inlineStr">
        <is>
          <t>Refrescos</t>
        </is>
      </c>
      <c r="C297" t="inlineStr">
        <is>
          <t>Zumo de piña</t>
        </is>
      </c>
      <c r="D297" s="2" t="n">
        <v>2.35</v>
      </c>
      <c r="E297" s="2">
        <f>IF(D297="","",D297+0.2)</f>
        <v>2.55</v>
      </c>
      <c r="F297" t="inlineStr"/>
    </row>
    <row r="298">
      <c r="A298" t="n">
        <v>300</v>
      </c>
      <c r="B298" t="inlineStr">
        <is>
          <t>Refrescos</t>
        </is>
      </c>
      <c r="C298" t="inlineStr">
        <is>
          <t>Coca-Cola Zero</t>
        </is>
      </c>
      <c r="D298" s="2" t="n">
        <v>2.35</v>
      </c>
      <c r="E298" s="2">
        <f>IF(D298="","",D298+0.2)</f>
        <v>2.55</v>
      </c>
      <c r="F298" t="inlineStr"/>
    </row>
    <row r="299">
      <c r="A299" t="n">
        <v>301</v>
      </c>
      <c r="B299" t="inlineStr">
        <is>
          <t>Refrescos</t>
        </is>
      </c>
      <c r="C299" t="inlineStr">
        <is>
          <t>Cacaolat</t>
        </is>
      </c>
      <c r="D299" s="2" t="n">
        <v>2.35</v>
      </c>
      <c r="E299" s="2">
        <f>IF(D299="","",D299+0.2)</f>
        <v>2.55</v>
      </c>
      <c r="F299" t="inlineStr"/>
    </row>
    <row r="300">
      <c r="A300" t="n">
        <v>302</v>
      </c>
      <c r="B300" t="inlineStr">
        <is>
          <t>Refrescos</t>
        </is>
      </c>
      <c r="C300" t="inlineStr">
        <is>
          <t>Red Bull</t>
        </is>
      </c>
      <c r="D300" s="2" t="n">
        <v>2.95</v>
      </c>
      <c r="E300" s="2">
        <f>IF(D300="","",D300+0.2)</f>
        <v>3.15</v>
      </c>
      <c r="F300" t="inlineStr"/>
    </row>
    <row r="301">
      <c r="A301" t="n">
        <v>303</v>
      </c>
      <c r="B301" t="inlineStr">
        <is>
          <t>Refrescos</t>
        </is>
      </c>
      <c r="C301" t="inlineStr">
        <is>
          <t>Bolsa</t>
        </is>
      </c>
      <c r="D301" s="2" t="n">
        <v>0.15</v>
      </c>
      <c r="E301" s="2">
        <f>IF(D301="","",D301+0.2)</f>
        <v>0.35</v>
      </c>
      <c r="F301" t="inlineStr"/>
    </row>
    <row r="302">
      <c r="A302" t="n">
        <v>304</v>
      </c>
      <c r="B302" t="inlineStr">
        <is>
          <t>Refrescos</t>
        </is>
      </c>
      <c r="C302" t="inlineStr">
        <is>
          <t>Bitter Kas</t>
        </is>
      </c>
      <c r="D302" s="2" t="n">
        <v>2.35</v>
      </c>
      <c r="E302" s="2">
        <f>IF(D302="","",D302+0.2)</f>
        <v>2.55</v>
      </c>
      <c r="F302" t="inlineStr"/>
    </row>
    <row r="303">
      <c r="A303" t="n">
        <v>305</v>
      </c>
      <c r="B303" t="inlineStr">
        <is>
          <t>Refrescos</t>
        </is>
      </c>
      <c r="C303" t="inlineStr">
        <is>
          <t>Agua 1 L</t>
        </is>
      </c>
      <c r="D303" s="2" t="n">
        <v>2.55</v>
      </c>
      <c r="E303" s="2">
        <f>IF(D303="","",D303+0.2)</f>
        <v>2.75</v>
      </c>
      <c r="F303" t="inlineStr"/>
    </row>
    <row r="304">
      <c r="A304" t="n">
        <v>306</v>
      </c>
      <c r="B304" t="inlineStr">
        <is>
          <t>Refrescos</t>
        </is>
      </c>
      <c r="C304" t="inlineStr">
        <is>
          <t>Agua 1/2 L</t>
        </is>
      </c>
      <c r="D304" s="2" t="n">
        <v>1.45</v>
      </c>
      <c r="E304" s="2">
        <f>IF(D304="","",D304+0.2)</f>
        <v>1.65</v>
      </c>
      <c r="F304" t="inlineStr"/>
    </row>
    <row r="305">
      <c r="A305" t="n">
        <v>307</v>
      </c>
      <c r="B305" t="inlineStr">
        <is>
          <t>Refrescos</t>
        </is>
      </c>
      <c r="C305" t="inlineStr">
        <is>
          <t>Coca-Cola sin cafeína</t>
        </is>
      </c>
      <c r="D305" s="2" t="n">
        <v>2.35</v>
      </c>
      <c r="E305" s="2">
        <f>IF(D305="","",D305+0.2)</f>
        <v>2.55</v>
      </c>
      <c r="F305" t="inlineStr"/>
    </row>
    <row r="306">
      <c r="A306" t="n">
        <v>308</v>
      </c>
      <c r="B306" t="inlineStr">
        <is>
          <t>Refrescos</t>
        </is>
      </c>
      <c r="C306" t="inlineStr">
        <is>
          <t>Maracuyá</t>
        </is>
      </c>
      <c r="D306" s="2" t="n">
        <v>2.35</v>
      </c>
      <c r="E306" s="2">
        <f>IF(D306="","",D306+0.2)</f>
        <v>2.55</v>
      </c>
      <c r="F306" t="inlineStr"/>
    </row>
    <row r="307">
      <c r="A307" t="n">
        <v>309</v>
      </c>
      <c r="B307" t="inlineStr">
        <is>
          <t>Refrescos</t>
        </is>
      </c>
      <c r="C307" t="inlineStr">
        <is>
          <t>Nestea</t>
        </is>
      </c>
      <c r="D307" s="2" t="n">
        <v>2.35</v>
      </c>
      <c r="E307" s="2">
        <f>IF(D307="","",D307+0.2)</f>
        <v>2.55</v>
      </c>
      <c r="F307" t="inlineStr"/>
    </row>
    <row r="308">
      <c r="A308" t="n">
        <v>310</v>
      </c>
      <c r="B308" t="inlineStr">
        <is>
          <t>Refrescos</t>
        </is>
      </c>
      <c r="C308" t="inlineStr">
        <is>
          <t>Sin limón</t>
        </is>
      </c>
      <c r="D308" s="2" t="n"/>
      <c r="E308" s="2" t="str">
        <f>IF(D308="","",D308+0.2)</f>
        <v/>
      </c>
      <c r="F308" t="inlineStr">
        <is>
          <t>Sin precio en la tarifa</t>
        </is>
      </c>
    </row>
    <row r="309">
      <c r="A309" t="n">
        <v>311</v>
      </c>
      <c r="B309" t="inlineStr">
        <is>
          <t>Refrescos</t>
        </is>
      </c>
      <c r="C309" t="inlineStr">
        <is>
          <t>Sin hielo</t>
        </is>
      </c>
      <c r="D309" s="2" t="n"/>
      <c r="E309" s="2" t="str">
        <f>IF(D309="","",D309+0.2)</f>
        <v/>
      </c>
      <c r="F309" t="inlineStr">
        <is>
          <t>Sin precio en la tarifa</t>
        </is>
      </c>
    </row>
    <row r="310">
      <c r="A310" t="n">
        <v>312</v>
      </c>
      <c r="B310" t="inlineStr">
        <is>
          <t>Refrescos</t>
        </is>
      </c>
      <c r="C310" t="inlineStr">
        <is>
          <t>Vaso</t>
        </is>
      </c>
      <c r="D310" s="2" t="n"/>
      <c r="E310" s="2" t="str">
        <f>IF(D310="","",D310+0.2)</f>
        <v/>
      </c>
      <c r="F310" t="inlineStr">
        <is>
          <t>Sin precio en la tarifa</t>
        </is>
      </c>
    </row>
    <row r="311">
      <c r="A311" t="n">
        <v>313</v>
      </c>
      <c r="B311" t="inlineStr">
        <is>
          <t>Refrescos</t>
        </is>
      </c>
      <c r="C311" t="inlineStr">
        <is>
          <t>Hielo</t>
        </is>
      </c>
      <c r="D311" s="2" t="n"/>
      <c r="E311" s="2" t="str">
        <f>IF(D311="","",D311+0.2)</f>
        <v/>
      </c>
      <c r="F311" t="inlineStr">
        <is>
          <t>Sin precio en la tarifa</t>
        </is>
      </c>
    </row>
    <row r="312">
      <c r="A312" t="n">
        <v>314</v>
      </c>
      <c r="B312" t="inlineStr">
        <is>
          <t>Refrescos</t>
        </is>
      </c>
      <c r="C312" t="inlineStr">
        <is>
          <t>Agua grande</t>
        </is>
      </c>
      <c r="D312" s="2" t="n">
        <v>2.05</v>
      </c>
      <c r="E312" s="2">
        <f>IF(D312="","",D312+0.2)</f>
        <v>2.25</v>
      </c>
      <c r="F312" t="inlineStr"/>
    </row>
    <row r="313">
      <c r="A313" t="n">
        <v>315</v>
      </c>
      <c r="B313" t="inlineStr">
        <is>
          <t>Refrescos</t>
        </is>
      </c>
      <c r="C313" t="inlineStr">
        <is>
          <t>Coca-Cola 200 ml</t>
        </is>
      </c>
      <c r="D313" s="2" t="n">
        <v>2.35</v>
      </c>
      <c r="E313" s="2">
        <f>IF(D313="","",D313+0.2)</f>
        <v>2.55</v>
      </c>
      <c r="F313" t="inlineStr"/>
    </row>
    <row r="314">
      <c r="A314" t="n">
        <v>316</v>
      </c>
      <c r="B314" t="inlineStr">
        <is>
          <t>Refrescos</t>
        </is>
      </c>
      <c r="C314" t="inlineStr">
        <is>
          <t>Coca-Cola Light</t>
        </is>
      </c>
      <c r="D314" s="2" t="n">
        <v>2.05</v>
      </c>
      <c r="E314" s="2">
        <f>IF(D314="","",D314+0.2)</f>
        <v>2.25</v>
      </c>
      <c r="F314" t="inlineStr"/>
    </row>
    <row r="315">
      <c r="A315" t="n">
        <v>317</v>
      </c>
      <c r="B315" t="inlineStr">
        <is>
          <t>Refrescos</t>
        </is>
      </c>
      <c r="C315" t="inlineStr">
        <is>
          <t>Cola Cao</t>
        </is>
      </c>
      <c r="D315" s="2" t="n">
        <v>2.6</v>
      </c>
      <c r="E315" s="2">
        <f>IF(D315="","",D315+0.2)</f>
        <v>2.8</v>
      </c>
      <c r="F315" t="inlineStr"/>
    </row>
    <row r="316">
      <c r="A316" t="n">
        <v>318</v>
      </c>
      <c r="B316" t="inlineStr">
        <is>
          <t>Refrescos</t>
        </is>
      </c>
      <c r="C316" t="inlineStr">
        <is>
          <t>Agua natural pequeña</t>
        </is>
      </c>
      <c r="D316" s="2" t="n">
        <v>1.45</v>
      </c>
      <c r="E316" s="2">
        <f>IF(D316="","",D316+0.2)</f>
        <v>1.65</v>
      </c>
      <c r="F316" t="inlineStr"/>
    </row>
    <row r="317">
      <c r="A317" t="n">
        <v>319</v>
      </c>
      <c r="B317" t="inlineStr">
        <is>
          <t>Refrescos</t>
        </is>
      </c>
      <c r="C317" t="inlineStr">
        <is>
          <t>Mucho hielo</t>
        </is>
      </c>
      <c r="D317" s="2" t="n">
        <v>0.35</v>
      </c>
      <c r="E317" s="2">
        <f>IF(D317="","",D317+0.2)</f>
        <v>0.55</v>
      </c>
      <c r="F317" t="inlineStr"/>
    </row>
    <row r="318">
      <c r="A318" t="n">
        <v>320</v>
      </c>
      <c r="B318" t="inlineStr">
        <is>
          <t>Refrescos</t>
        </is>
      </c>
      <c r="C318" t="inlineStr">
        <is>
          <t>Caliente</t>
        </is>
      </c>
      <c r="D318" s="2" t="n">
        <v>0.1</v>
      </c>
      <c r="E318" s="2">
        <f>IF(D318="","",D318+0.2)</f>
        <v>0.3</v>
      </c>
      <c r="F318" t="inlineStr"/>
    </row>
    <row r="319">
      <c r="A319" t="n">
        <v>321</v>
      </c>
      <c r="B319" t="inlineStr">
        <is>
          <t>Refrescos</t>
        </is>
      </c>
      <c r="C319" t="inlineStr">
        <is>
          <t>Olivas de la casa</t>
        </is>
      </c>
      <c r="D319" s="2" t="n">
        <v>0.1</v>
      </c>
      <c r="E319" s="2">
        <f>IF(D319="","",D319+0.2)</f>
        <v>0.3</v>
      </c>
      <c r="F319" t="inlineStr"/>
    </row>
    <row r="320">
      <c r="A320" t="n">
        <v>322</v>
      </c>
      <c r="B320" t="inlineStr">
        <is>
          <t>Refrescos</t>
        </is>
      </c>
      <c r="C320" t="inlineStr">
        <is>
          <t>Kikos de la casa</t>
        </is>
      </c>
      <c r="D320" s="2" t="n">
        <v>0.1</v>
      </c>
      <c r="E320" s="2">
        <f>IF(D320="","",D320+0.2)</f>
        <v>0.3</v>
      </c>
      <c r="F320" t="inlineStr"/>
    </row>
    <row r="321">
      <c r="A321" s="3" t="n">
        <v>323</v>
      </c>
      <c r="B321" s="3" t="inlineStr">
        <is>
          <t>Refrescos</t>
        </is>
      </c>
      <c r="C321" s="3" t="inlineStr">
        <is>
          <t>Aquarius naranja</t>
        </is>
      </c>
      <c r="D321" s="4" t="n">
        <v>2.05</v>
      </c>
      <c r="E321" s="4">
        <f>IF(D321="","",D321+0.2)</f>
        <v>2.25</v>
      </c>
      <c r="F321" s="3" t="inlineStr">
        <is>
          <t>Revisar: aparece más de una vez con precios distintos</t>
        </is>
      </c>
    </row>
    <row r="322">
      <c r="A322" t="n">
        <v>324</v>
      </c>
      <c r="B322" t="inlineStr">
        <is>
          <t>Tapas</t>
        </is>
      </c>
      <c r="C322" t="inlineStr">
        <is>
          <t>Bravas bravas bravas</t>
        </is>
      </c>
      <c r="D322" s="2" t="n">
        <v>6.7</v>
      </c>
      <c r="E322" s="2">
        <f>IF(D322="","",D322+0.2)</f>
        <v>6.9</v>
      </c>
      <c r="F322" t="inlineStr"/>
    </row>
    <row r="323">
      <c r="A323" t="n">
        <v>325</v>
      </c>
      <c r="B323" t="inlineStr">
        <is>
          <t>Tapas</t>
        </is>
      </c>
      <c r="C323" t="inlineStr">
        <is>
          <t>Tapa de chocos</t>
        </is>
      </c>
      <c r="D323" s="2" t="n">
        <v>11.5</v>
      </c>
      <c r="E323" s="2">
        <f>IF(D323="","",D323+0.2)</f>
        <v>11.7</v>
      </c>
      <c r="F323" t="inlineStr"/>
    </row>
    <row r="324">
      <c r="A324" t="n">
        <v>326</v>
      </c>
      <c r="B324" t="inlineStr">
        <is>
          <t>Tapas</t>
        </is>
      </c>
      <c r="C324" t="inlineStr">
        <is>
          <t>Berenjena</t>
        </is>
      </c>
      <c r="D324" s="2" t="n">
        <v>7.95</v>
      </c>
      <c r="E324" s="2">
        <f>IF(D324="","",D324+0.2)</f>
        <v>8.15</v>
      </c>
      <c r="F324" t="inlineStr"/>
    </row>
    <row r="325">
      <c r="A325" t="n">
        <v>327</v>
      </c>
      <c r="B325" t="inlineStr">
        <is>
          <t>Tapas</t>
        </is>
      </c>
      <c r="C325" t="inlineStr">
        <is>
          <t>Tapa de puntillas</t>
        </is>
      </c>
      <c r="D325" s="2" t="n">
        <v>11.5</v>
      </c>
      <c r="E325" s="2">
        <f>IF(D325="","",D325+0.2)</f>
        <v>11.7</v>
      </c>
      <c r="F325" t="inlineStr"/>
    </row>
    <row r="326">
      <c r="A326" t="n">
        <v>328</v>
      </c>
      <c r="B326" t="inlineStr">
        <is>
          <t>Tapas</t>
        </is>
      </c>
      <c r="C326" t="inlineStr">
        <is>
          <t>Tapa de pinchos</t>
        </is>
      </c>
      <c r="D326" s="2" t="n">
        <v>9.699999999999999</v>
      </c>
      <c r="E326" s="2">
        <f>IF(D326="","",D326+0.2)</f>
        <v>9.9</v>
      </c>
      <c r="F326" t="inlineStr"/>
    </row>
    <row r="327">
      <c r="A327" t="n">
        <v>329</v>
      </c>
      <c r="B327" t="inlineStr">
        <is>
          <t>Tapas</t>
        </is>
      </c>
      <c r="C327" t="inlineStr">
        <is>
          <t>Tapa de patatas fritas</t>
        </is>
      </c>
      <c r="D327" s="2" t="n">
        <v>3.9</v>
      </c>
      <c r="E327" s="2">
        <f>IF(D327="","",D327+0.2)</f>
        <v>4.1</v>
      </c>
      <c r="F327" t="inlineStr"/>
    </row>
    <row r="328">
      <c r="A328" t="n">
        <v>330</v>
      </c>
      <c r="B328" t="inlineStr">
        <is>
          <t>Tapas</t>
        </is>
      </c>
      <c r="C328" t="inlineStr">
        <is>
          <t>Tapa de croquetas</t>
        </is>
      </c>
      <c r="D328" s="2" t="n">
        <v>7.6</v>
      </c>
      <c r="E328" s="2">
        <f>IF(D328="","",D328+0.2)</f>
        <v>7.8</v>
      </c>
      <c r="F328" t="inlineStr"/>
    </row>
    <row r="329">
      <c r="A329" t="n">
        <v>331</v>
      </c>
      <c r="B329" t="inlineStr">
        <is>
          <t>Tapas</t>
        </is>
      </c>
      <c r="C329" t="inlineStr">
        <is>
          <t>Nuggets</t>
        </is>
      </c>
      <c r="D329" s="2" t="n">
        <v>7.5</v>
      </c>
      <c r="E329" s="2">
        <f>IF(D329="","",D329+0.2)</f>
        <v>7.7</v>
      </c>
      <c r="F329" t="inlineStr"/>
    </row>
    <row r="330">
      <c r="A330" t="n">
        <v>332</v>
      </c>
      <c r="B330" t="inlineStr">
        <is>
          <t>Tapas</t>
        </is>
      </c>
      <c r="C330" t="inlineStr">
        <is>
          <t>Limón</t>
        </is>
      </c>
      <c r="D330" s="2" t="n"/>
      <c r="E330" s="2" t="str">
        <f>IF(D330="","",D330+0.2)</f>
        <v/>
      </c>
      <c r="F330" t="inlineStr">
        <is>
          <t>Sin precio en la tarifa</t>
        </is>
      </c>
    </row>
    <row r="331">
      <c r="A331" t="n">
        <v>333</v>
      </c>
      <c r="B331" t="inlineStr">
        <is>
          <t>Tapas</t>
        </is>
      </c>
      <c r="C331" t="inlineStr">
        <is>
          <t>Tapa de calamares a la andaluza</t>
        </is>
      </c>
      <c r="D331" s="2" t="n">
        <v>8.5</v>
      </c>
      <c r="E331" s="2">
        <f>IF(D331="","",D331+0.2)</f>
        <v>8.7</v>
      </c>
      <c r="F331" t="inlineStr"/>
    </row>
    <row r="332">
      <c r="A332" t="n">
        <v>334</v>
      </c>
      <c r="B332" t="inlineStr">
        <is>
          <t>Tapas</t>
        </is>
      </c>
      <c r="C332" t="inlineStr">
        <is>
          <t>Tapa de alitas de pollo</t>
        </is>
      </c>
      <c r="D332" s="2" t="n">
        <v>7.95</v>
      </c>
      <c r="E332" s="2">
        <f>IF(D332="","",D332+0.2)</f>
        <v>8.15</v>
      </c>
      <c r="F332" t="inlineStr"/>
    </row>
    <row r="333">
      <c r="A333" t="n">
        <v>335</v>
      </c>
      <c r="B333" t="inlineStr">
        <is>
          <t>Tapas</t>
        </is>
      </c>
      <c r="C333" t="inlineStr">
        <is>
          <t>Alcachofas chips</t>
        </is>
      </c>
      <c r="D333" s="2" t="n">
        <v>9.699999999999999</v>
      </c>
      <c r="E333" s="2">
        <f>IF(D333="","",D333+0.2)</f>
        <v>9.9</v>
      </c>
      <c r="F333" t="inlineStr"/>
    </row>
    <row r="334">
      <c r="A334" t="n">
        <v>336</v>
      </c>
      <c r="B334" t="inlineStr">
        <is>
          <t>Tapas</t>
        </is>
      </c>
      <c r="C334" t="inlineStr">
        <is>
          <t>Rodaja con tomate</t>
        </is>
      </c>
      <c r="D334" s="2" t="n">
        <v>1.95</v>
      </c>
      <c r="E334" s="2">
        <f>IF(D334="","",D334+0.2)</f>
        <v>2.15</v>
      </c>
      <c r="F334" t="inlineStr"/>
    </row>
    <row r="335">
      <c r="A335" t="n">
        <v>337</v>
      </c>
      <c r="B335" t="inlineStr">
        <is>
          <t>Tapas</t>
        </is>
      </c>
      <c r="C335" t="inlineStr">
        <is>
          <t>Tapa de tiras de pollo</t>
        </is>
      </c>
      <c r="D335" s="2" t="n">
        <v>8.35</v>
      </c>
      <c r="E335" s="2">
        <f>IF(D335="","",D335+0.2)</f>
        <v>8.55</v>
      </c>
      <c r="F335" t="inlineStr"/>
    </row>
    <row r="336">
      <c r="A336" t="n">
        <v>338</v>
      </c>
      <c r="B336" t="inlineStr">
        <is>
          <t>Tapas</t>
        </is>
      </c>
      <c r="C336" t="inlineStr">
        <is>
          <t>Rabas de calamar</t>
        </is>
      </c>
      <c r="D336" s="2" t="n">
        <v>6.95</v>
      </c>
      <c r="E336" s="2">
        <f>IF(D336="","",D336+0.2)</f>
        <v>7.15</v>
      </c>
      <c r="F336" t="inlineStr"/>
    </row>
    <row r="337">
      <c r="A337" t="n">
        <v>339</v>
      </c>
      <c r="B337" t="inlineStr">
        <is>
          <t>Tapas</t>
        </is>
      </c>
      <c r="C337" t="inlineStr">
        <is>
          <t>Tenedor tapas</t>
        </is>
      </c>
      <c r="D337" s="2" t="n"/>
      <c r="E337" s="2" t="str">
        <f>IF(D337="","",D337+0.2)</f>
        <v/>
      </c>
      <c r="F337" t="inlineStr">
        <is>
          <t>Sin precio en la tarifa</t>
        </is>
      </c>
    </row>
    <row r="338">
      <c r="A338" t="n">
        <v>340</v>
      </c>
      <c r="B338" t="inlineStr">
        <is>
          <t>Tapas</t>
        </is>
      </c>
      <c r="C338" t="inlineStr">
        <is>
          <t>Ensaladilla rusa</t>
        </is>
      </c>
      <c r="D338" s="2" t="n">
        <v>4.75</v>
      </c>
      <c r="E338" s="2">
        <f>IF(D338="","",D338+0.2)</f>
        <v>4.95</v>
      </c>
      <c r="F338" t="inlineStr"/>
    </row>
    <row r="339">
      <c r="A339" t="n">
        <v>341</v>
      </c>
      <c r="B339" t="inlineStr">
        <is>
          <t>Tapas</t>
        </is>
      </c>
      <c r="C339" t="inlineStr">
        <is>
          <t>Albóndigas en salsa</t>
        </is>
      </c>
      <c r="D339" s="2" t="n">
        <v>4.25</v>
      </c>
      <c r="E339" s="2">
        <f>IF(D339="","",D339+0.2)</f>
        <v>4.45</v>
      </c>
      <c r="F339" t="inlineStr"/>
    </row>
    <row r="340">
      <c r="A340" t="n">
        <v>342</v>
      </c>
      <c r="B340" t="inlineStr">
        <is>
          <t>Tapas</t>
        </is>
      </c>
      <c r="C340" t="inlineStr">
        <is>
          <t>Tortilla de patata con cebolla</t>
        </is>
      </c>
      <c r="D340" s="2" t="n">
        <v>9.5</v>
      </c>
      <c r="E340" s="2">
        <f>IF(D340="","",D340+0.2)</f>
        <v>9.7</v>
      </c>
      <c r="F340" t="inlineStr"/>
    </row>
    <row r="341">
      <c r="A341" t="n">
        <v>343</v>
      </c>
      <c r="B341" t="inlineStr">
        <is>
          <t>Tapas</t>
        </is>
      </c>
      <c r="C341" t="inlineStr">
        <is>
          <t>Patata bomba</t>
        </is>
      </c>
      <c r="D341" s="2" t="n">
        <v>4.35</v>
      </c>
      <c r="E341" s="2">
        <f>IF(D341="","",D341+0.2)</f>
        <v>4.55</v>
      </c>
      <c r="F341" t="inlineStr"/>
    </row>
    <row r="342">
      <c r="A342" t="n">
        <v>344</v>
      </c>
      <c r="B342" t="inlineStr">
        <is>
          <t>Tapas</t>
        </is>
      </c>
      <c r="C342" t="inlineStr">
        <is>
          <t>Media de bravas</t>
        </is>
      </c>
      <c r="D342" s="2" t="n">
        <v>3.95</v>
      </c>
      <c r="E342" s="2">
        <f>IF(D342="","",D342+0.2)</f>
        <v>4.15</v>
      </c>
      <c r="F342" t="inlineStr"/>
    </row>
    <row r="343">
      <c r="A343" t="n">
        <v>345</v>
      </c>
      <c r="B343" t="inlineStr">
        <is>
          <t>Tapas</t>
        </is>
      </c>
      <c r="C343" t="inlineStr">
        <is>
          <t>Media de chocos</t>
        </is>
      </c>
      <c r="D343" s="2" t="n">
        <v>5</v>
      </c>
      <c r="E343" s="2">
        <f>IF(D343="","",D343+0.2)</f>
        <v>5.2</v>
      </c>
      <c r="F343" t="inlineStr"/>
    </row>
    <row r="344">
      <c r="A344" t="n">
        <v>346</v>
      </c>
      <c r="B344" t="inlineStr">
        <is>
          <t>Tapas</t>
        </is>
      </c>
      <c r="C344" t="inlineStr">
        <is>
          <t>Rodaja de pan</t>
        </is>
      </c>
      <c r="D344" s="2" t="n">
        <v>1.35</v>
      </c>
      <c r="E344" s="2">
        <f>IF(D344="","",D344+0.2)</f>
        <v>1.55</v>
      </c>
      <c r="F344" t="inlineStr"/>
    </row>
    <row r="345">
      <c r="A345" t="n">
        <v>347</v>
      </c>
      <c r="B345" t="inlineStr">
        <is>
          <t>Tapas</t>
        </is>
      </c>
      <c r="C345" t="inlineStr">
        <is>
          <t>Pulpo Els Tr3s</t>
        </is>
      </c>
      <c r="D345" s="2" t="n">
        <v>15</v>
      </c>
      <c r="E345" s="2">
        <f>IF(D345="","",D345+0.2)</f>
        <v>15.2</v>
      </c>
      <c r="F345" t="inlineStr"/>
    </row>
    <row r="346">
      <c r="A346" t="n">
        <v>348</v>
      </c>
      <c r="B346" t="inlineStr">
        <is>
          <t>Tapas</t>
        </is>
      </c>
      <c r="C346" t="inlineStr">
        <is>
          <t>Huevo al plato</t>
        </is>
      </c>
      <c r="D346" s="2" t="n">
        <v>1.5</v>
      </c>
      <c r="E346" s="2">
        <f>IF(D346="","",D346+0.2)</f>
        <v>1.7</v>
      </c>
      <c r="F346" t="inlineStr"/>
    </row>
    <row r="347">
      <c r="A347" t="n">
        <v>349</v>
      </c>
      <c r="B347" t="inlineStr">
        <is>
          <t>Tapas</t>
        </is>
      </c>
      <c r="C347" t="inlineStr">
        <is>
          <t>Tapa de queso semicurado</t>
        </is>
      </c>
      <c r="D347" s="2" t="n">
        <v>5.25</v>
      </c>
      <c r="E347" s="2">
        <f>IF(D347="","",D347+0.2)</f>
        <v>5.45</v>
      </c>
      <c r="F347" t="inlineStr"/>
    </row>
    <row r="348">
      <c r="A348" t="n">
        <v>350</v>
      </c>
      <c r="B348" t="inlineStr">
        <is>
          <t>Tapas</t>
        </is>
      </c>
      <c r="C348" t="inlineStr">
        <is>
          <t>Escupiñas</t>
        </is>
      </c>
      <c r="D348" s="2" t="n">
        <v>9.85</v>
      </c>
      <c r="E348" s="2">
        <f>IF(D348="","",D348+0.2)</f>
        <v>10.05</v>
      </c>
      <c r="F348" t="inlineStr"/>
    </row>
    <row r="349">
      <c r="A349" t="n">
        <v>351</v>
      </c>
      <c r="B349" t="inlineStr">
        <is>
          <t>Tapas</t>
        </is>
      </c>
      <c r="C349" t="inlineStr">
        <is>
          <t>Anchoas de L'Escala</t>
        </is>
      </c>
      <c r="D349" s="2" t="n">
        <v>7.25</v>
      </c>
      <c r="E349" s="2">
        <f>IF(D349="","",D349+0.2)</f>
        <v>7.45</v>
      </c>
      <c r="F349" t="inlineStr"/>
    </row>
    <row r="350">
      <c r="A350" t="n">
        <v>352</v>
      </c>
      <c r="B350" t="inlineStr">
        <is>
          <t>Tapas</t>
        </is>
      </c>
      <c r="C350" t="inlineStr">
        <is>
          <t>Boquerones en vinagre</t>
        </is>
      </c>
      <c r="D350" s="2" t="n">
        <v>7.25</v>
      </c>
      <c r="E350" s="2">
        <f>IF(D350="","",D350+0.2)</f>
        <v>7.45</v>
      </c>
      <c r="F350" t="inlineStr"/>
    </row>
    <row r="351">
      <c r="A351" t="n">
        <v>353</v>
      </c>
      <c r="B351" t="inlineStr">
        <is>
          <t>Tapas</t>
        </is>
      </c>
      <c r="C351" t="inlineStr">
        <is>
          <t>Tapa de mejillones en escabeche</t>
        </is>
      </c>
      <c r="D351" s="2" t="n"/>
      <c r="E351" s="2" t="str">
        <f>IF(D351="","",D351+0.2)</f>
        <v/>
      </c>
      <c r="F351" t="inlineStr">
        <is>
          <t>Sin precio en la tarifa</t>
        </is>
      </c>
    </row>
    <row r="352">
      <c r="A352" t="n">
        <v>354</v>
      </c>
      <c r="B352" t="inlineStr">
        <is>
          <t>Tapas</t>
        </is>
      </c>
      <c r="C352" t="inlineStr">
        <is>
          <t>Longaniza (tapa)</t>
        </is>
      </c>
      <c r="D352" s="2" t="n">
        <v>5.5</v>
      </c>
      <c r="E352" s="2">
        <f>IF(D352="","",D352+0.2)</f>
        <v>5.7</v>
      </c>
      <c r="F352" t="inlineStr"/>
    </row>
    <row r="353">
      <c r="A353" t="n">
        <v>355</v>
      </c>
      <c r="B353" t="inlineStr">
        <is>
          <t>Tapas</t>
        </is>
      </c>
      <c r="C353" t="inlineStr">
        <is>
          <t>Olivas rellenas</t>
        </is>
      </c>
      <c r="D353" s="2" t="n">
        <v>2.95</v>
      </c>
      <c r="E353" s="2">
        <f>IF(D353="","",D353+0.2)</f>
        <v>3.15</v>
      </c>
      <c r="F353" t="inlineStr"/>
    </row>
    <row r="354">
      <c r="A354" t="n">
        <v>356</v>
      </c>
      <c r="B354" t="inlineStr">
        <is>
          <t>Tapas</t>
        </is>
      </c>
      <c r="C354" t="inlineStr">
        <is>
          <t>Patatas chips</t>
        </is>
      </c>
      <c r="D354" s="2" t="n">
        <v>1.55</v>
      </c>
      <c r="E354" s="2">
        <f>IF(D354="","",D354+0.2)</f>
        <v>1.75</v>
      </c>
      <c r="F354" t="inlineStr"/>
    </row>
    <row r="355">
      <c r="A355" t="n">
        <v>357</v>
      </c>
      <c r="B355" t="inlineStr">
        <is>
          <t>Tapas</t>
        </is>
      </c>
      <c r="C355" t="inlineStr">
        <is>
          <t>Tapa de queso manchego</t>
        </is>
      </c>
      <c r="D355" s="2" t="n">
        <v>7.75</v>
      </c>
      <c r="E355" s="2">
        <f>IF(D355="","",D355+0.2)</f>
        <v>7.95</v>
      </c>
      <c r="F355" t="inlineStr"/>
    </row>
    <row r="356">
      <c r="A356" t="n">
        <v>358</v>
      </c>
      <c r="B356" t="inlineStr">
        <is>
          <t>Tapas</t>
        </is>
      </c>
      <c r="C356" t="inlineStr">
        <is>
          <t>Jamón serrano (tapa)</t>
        </is>
      </c>
      <c r="D356" s="2" t="n">
        <v>6.5</v>
      </c>
      <c r="E356" s="2">
        <f>IF(D356="","",D356+0.2)</f>
        <v>6.7</v>
      </c>
      <c r="F356" t="inlineStr"/>
    </row>
    <row r="357">
      <c r="A357" t="n">
        <v>359</v>
      </c>
      <c r="B357" t="inlineStr">
        <is>
          <t>Tapas</t>
        </is>
      </c>
      <c r="C357" t="inlineStr">
        <is>
          <t>Tapa de jamón ibérico</t>
        </is>
      </c>
      <c r="D357" s="2" t="n">
        <v>12.5</v>
      </c>
      <c r="E357" s="2">
        <f>IF(D357="","",D357+0.2)</f>
        <v>12.7</v>
      </c>
      <c r="F357" t="inlineStr"/>
    </row>
    <row r="358">
      <c r="A358" t="n">
        <v>360</v>
      </c>
      <c r="B358" t="inlineStr">
        <is>
          <t>Torradas</t>
        </is>
      </c>
      <c r="C358" t="inlineStr">
        <is>
          <t>Torrada sobrasada, formatge i ou de guatlla (1)</t>
        </is>
      </c>
      <c r="D358" s="2" t="n">
        <v>6.95</v>
      </c>
      <c r="E358" s="2">
        <f>IF(D358="","",D358+0.2)</f>
        <v>7.15</v>
      </c>
      <c r="F358" t="inlineStr"/>
    </row>
    <row r="359">
      <c r="A359" t="n">
        <v>361</v>
      </c>
      <c r="B359" t="inlineStr">
        <is>
          <t>Torradas</t>
        </is>
      </c>
      <c r="C359" t="inlineStr">
        <is>
          <t>Torrada cansalada, xistorra, ou i formatge (2)</t>
        </is>
      </c>
      <c r="D359" s="2" t="n">
        <v>7.95</v>
      </c>
      <c r="E359" s="2">
        <f>IF(D359="","",D359+0.2)</f>
        <v>8.15</v>
      </c>
      <c r="F359" t="inlineStr"/>
    </row>
    <row r="360">
      <c r="A360" t="n">
        <v>362</v>
      </c>
      <c r="B360" t="inlineStr">
        <is>
          <t>Torradas</t>
        </is>
      </c>
      <c r="C360" t="inlineStr">
        <is>
          <t>Torrada pollastre, xampinyons, ou, ceba i formatge (3)</t>
        </is>
      </c>
      <c r="D360" s="2" t="n">
        <v>7.95</v>
      </c>
      <c r="E360" s="2">
        <f>IF(D360="","",D360+0.2)</f>
        <v>8.15</v>
      </c>
      <c r="F360" t="inlineStr"/>
    </row>
    <row r="361">
      <c r="A361" t="n">
        <v>363</v>
      </c>
      <c r="B361" t="inlineStr">
        <is>
          <t>Torradas</t>
        </is>
      </c>
      <c r="C361" t="inlineStr">
        <is>
          <t>Torrada vedella, xampinyons, ceba i formatge (4)</t>
        </is>
      </c>
      <c r="D361" s="2" t="n">
        <v>7.15</v>
      </c>
      <c r="E361" s="2">
        <f>IF(D361="","",D361+0.2)</f>
        <v>7.35</v>
      </c>
      <c r="F361" t="inlineStr"/>
    </row>
    <row r="362">
      <c r="A362" t="n">
        <v>364</v>
      </c>
      <c r="B362" t="inlineStr">
        <is>
          <t>Torradas</t>
        </is>
      </c>
      <c r="C362" t="inlineStr">
        <is>
          <t>Torrada de llom (5)</t>
        </is>
      </c>
      <c r="D362" s="2" t="n">
        <v>5.5</v>
      </c>
      <c r="E362" s="2">
        <f>IF(D362="","",D362+0.2)</f>
        <v>5.7</v>
      </c>
      <c r="F362" t="inlineStr"/>
    </row>
    <row r="363">
      <c r="A363" t="n">
        <v>365</v>
      </c>
      <c r="B363" t="inlineStr">
        <is>
          <t>Torradas</t>
        </is>
      </c>
      <c r="C363" t="inlineStr">
        <is>
          <t>Torrada de pollastre (6)</t>
        </is>
      </c>
      <c r="D363" s="2" t="n">
        <v>5.95</v>
      </c>
      <c r="E363" s="2">
        <f>IF(D363="","",D363+0.2)</f>
        <v>6.15</v>
      </c>
      <c r="F363" t="inlineStr"/>
    </row>
    <row r="364">
      <c r="A364" t="n">
        <v>366</v>
      </c>
      <c r="B364" t="inlineStr">
        <is>
          <t>Torradas</t>
        </is>
      </c>
      <c r="C364" t="inlineStr">
        <is>
          <t>Torrada de truita francesa</t>
        </is>
      </c>
      <c r="D364" s="2" t="n">
        <v>4.6</v>
      </c>
      <c r="E364" s="2">
        <f>IF(D364="","",D364+0.2)</f>
        <v>4.8</v>
      </c>
      <c r="F364" t="inlineStr"/>
    </row>
    <row r="365">
      <c r="A365" t="n">
        <v>367</v>
      </c>
      <c r="B365" t="inlineStr">
        <is>
          <t>Torradas</t>
        </is>
      </c>
      <c r="C365" t="inlineStr">
        <is>
          <t>Torrada d'escalivada i anxova</t>
        </is>
      </c>
      <c r="D365" s="2" t="n">
        <v>7.6</v>
      </c>
      <c r="E365" s="2">
        <f>IF(D365="","",D365+0.2)</f>
        <v>7.8</v>
      </c>
      <c r="F365" t="inlineStr"/>
    </row>
    <row r="366">
      <c r="A366" t="n">
        <v>368</v>
      </c>
      <c r="B366" t="inlineStr">
        <is>
          <t>Torradas</t>
        </is>
      </c>
      <c r="C366" t="inlineStr">
        <is>
          <t>Torrada de pinxo</t>
        </is>
      </c>
      <c r="D366" s="2" t="n">
        <v>6.6</v>
      </c>
      <c r="E366" s="2">
        <f>IF(D366="","",D366+0.2)</f>
        <v>6.8</v>
      </c>
      <c r="F366" t="inlineStr"/>
    </row>
    <row r="367">
      <c r="A367" t="n">
        <v>369</v>
      </c>
      <c r="B367" t="inlineStr">
        <is>
          <t>Torradas</t>
        </is>
      </c>
      <c r="C367" t="inlineStr">
        <is>
          <t>Torrada de botifarra</t>
        </is>
      </c>
      <c r="D367" s="2" t="n">
        <v>5.6</v>
      </c>
      <c r="E367" s="2">
        <f>IF(D367="","",D367+0.2)</f>
        <v>5.8</v>
      </c>
      <c r="F367" t="inlineStr"/>
    </row>
    <row r="368">
      <c r="A368" t="n">
        <v>370</v>
      </c>
      <c r="B368" t="inlineStr">
        <is>
          <t>Torradas</t>
        </is>
      </c>
      <c r="C368" t="inlineStr">
        <is>
          <t>Torrada de llonganissa</t>
        </is>
      </c>
      <c r="D368" s="2" t="n">
        <v>6.75</v>
      </c>
      <c r="E368" s="2">
        <f>IF(D368="","",D368+0.2)</f>
        <v>6.95</v>
      </c>
      <c r="F368" t="inlineStr"/>
    </row>
    <row r="369">
      <c r="A369" t="n">
        <v>371</v>
      </c>
      <c r="B369" t="inlineStr">
        <is>
          <t>Torradas</t>
        </is>
      </c>
      <c r="C369" t="inlineStr">
        <is>
          <t>Escalivada de pebrot vermell i albergínia</t>
        </is>
      </c>
      <c r="D369" s="2" t="n">
        <v>9.85</v>
      </c>
      <c r="E369" s="2">
        <f>IF(D369="","",D369+0.2)</f>
        <v>10.05</v>
      </c>
      <c r="F369" t="inlineStr"/>
    </row>
    <row r="370">
      <c r="A370" t="n">
        <v>372</v>
      </c>
      <c r="B370" t="inlineStr">
        <is>
          <t>Torradas</t>
        </is>
      </c>
      <c r="C370" t="inlineStr">
        <is>
          <t>Torrada de formatge manxec i anxoves</t>
        </is>
      </c>
      <c r="D370" s="2" t="n">
        <v>8.5</v>
      </c>
      <c r="E370" s="2">
        <f>IF(D370="","",D370+0.2)</f>
        <v>8.7</v>
      </c>
      <c r="F370" t="inlineStr"/>
    </row>
    <row r="371">
      <c r="A371" t="n">
        <v>373</v>
      </c>
      <c r="B371" t="inlineStr">
        <is>
          <t>Torradas</t>
        </is>
      </c>
      <c r="C371" t="inlineStr">
        <is>
          <t>Torrada de xoriço ibèric</t>
        </is>
      </c>
      <c r="D371" s="2" t="n">
        <v>6.5</v>
      </c>
      <c r="E371" s="2">
        <f>IF(D371="","",D371+0.2)</f>
        <v>6.7</v>
      </c>
      <c r="F371" t="inlineStr"/>
    </row>
    <row r="372">
      <c r="A372" t="n">
        <v>374</v>
      </c>
      <c r="B372" t="inlineStr">
        <is>
          <t>Torradas</t>
        </is>
      </c>
      <c r="C372" t="inlineStr">
        <is>
          <t>Torrada de salmó i formatge fresc</t>
        </is>
      </c>
      <c r="D372" s="2" t="n">
        <v>7.5</v>
      </c>
      <c r="E372" s="2">
        <f>IF(D372="","",D372+0.2)</f>
        <v>7.7</v>
      </c>
      <c r="F372" t="inlineStr"/>
    </row>
    <row r="373">
      <c r="A373" t="n">
        <v>375</v>
      </c>
      <c r="B373" t="inlineStr">
        <is>
          <t>Torradas</t>
        </is>
      </c>
      <c r="C373" t="inlineStr">
        <is>
          <t>Torrada de pernil serrà</t>
        </is>
      </c>
      <c r="D373" s="2" t="n">
        <v>7.05</v>
      </c>
      <c r="E373" s="2">
        <f>IF(D373="","",D373+0.2)</f>
        <v>7.25</v>
      </c>
      <c r="F373" t="inlineStr"/>
    </row>
    <row r="374">
      <c r="A374" t="n">
        <v>376</v>
      </c>
      <c r="B374" t="inlineStr">
        <is>
          <t>Torradas</t>
        </is>
      </c>
      <c r="C374" t="inlineStr">
        <is>
          <t>Torrada de pernil ibèric</t>
        </is>
      </c>
      <c r="D374" s="2" t="n">
        <v>10.25</v>
      </c>
      <c r="E374" s="2">
        <f>IF(D374="","",D374+0.2)</f>
        <v>10.45</v>
      </c>
      <c r="F374" t="inlineStr"/>
    </row>
    <row r="375">
      <c r="A375" t="n">
        <v>377</v>
      </c>
      <c r="B375" t="inlineStr">
        <is>
          <t>Torradas</t>
        </is>
      </c>
      <c r="C375" t="inlineStr">
        <is>
          <t>Torrada de formatge manxec</t>
        </is>
      </c>
      <c r="D375" s="2" t="n">
        <v>8.050000000000001</v>
      </c>
      <c r="E375" s="2">
        <f>IF(D375="","",D375+0.2)</f>
        <v>8.25</v>
      </c>
      <c r="F375" t="inlineStr"/>
    </row>
    <row r="376">
      <c r="A376" t="n">
        <v>378</v>
      </c>
      <c r="B376" t="inlineStr">
        <is>
          <t>Torradas</t>
        </is>
      </c>
      <c r="C376" t="inlineStr">
        <is>
          <t>Torrada de formatge semicurat</t>
        </is>
      </c>
      <c r="D376" s="2" t="n">
        <v>7.5</v>
      </c>
      <c r="E376" s="2">
        <f>IF(D376="","",D376+0.2)</f>
        <v>7.7</v>
      </c>
      <c r="F376" t="inlineStr"/>
    </row>
    <row r="377">
      <c r="A377" t="n">
        <v>379</v>
      </c>
      <c r="B377" t="inlineStr">
        <is>
          <t>Vinos</t>
        </is>
      </c>
      <c r="C377" t="inlineStr">
        <is>
          <t>Ampolla de vi blanc</t>
        </is>
      </c>
      <c r="D377" s="2" t="n">
        <v>13.5</v>
      </c>
      <c r="E377" s="2">
        <f>IF(D377="","",D377+0.2)</f>
        <v>13.7</v>
      </c>
      <c r="F377" t="inlineStr"/>
    </row>
    <row r="378">
      <c r="A378" t="n">
        <v>380</v>
      </c>
      <c r="B378" t="inlineStr">
        <is>
          <t>Vinos</t>
        </is>
      </c>
      <c r="C378" t="inlineStr">
        <is>
          <t>Ampolla de vi negre</t>
        </is>
      </c>
      <c r="D378" s="2" t="n">
        <v>12.5</v>
      </c>
      <c r="E378" s="2">
        <f>IF(D378="","",D378+0.2)</f>
        <v>12.7</v>
      </c>
      <c r="F378" t="inlineStr"/>
    </row>
    <row r="379">
      <c r="A379" t="n">
        <v>381</v>
      </c>
      <c r="B379" t="inlineStr">
        <is>
          <t>Vinos</t>
        </is>
      </c>
      <c r="C379" t="inlineStr">
        <is>
          <t>Ampolla de vi rosat</t>
        </is>
      </c>
      <c r="D379" s="2" t="n">
        <v>12.5</v>
      </c>
      <c r="E379" s="2">
        <f>IF(D379="","",D379+0.2)</f>
        <v>12.7</v>
      </c>
      <c r="F379" t="inlineStr"/>
    </row>
    <row r="380">
      <c r="A380" t="n">
        <v>382</v>
      </c>
      <c r="B380" t="inlineStr">
        <is>
          <t>Vinos</t>
        </is>
      </c>
      <c r="C380" t="inlineStr">
        <is>
          <t>Azabache</t>
        </is>
      </c>
      <c r="D380" s="2" t="n">
        <v>12.5</v>
      </c>
      <c r="E380" s="2">
        <f>IF(D380="","",D380+0.2)</f>
        <v>12.7</v>
      </c>
      <c r="F380" t="inlineStr"/>
    </row>
    <row r="381">
      <c r="A381" t="n">
        <v>383</v>
      </c>
      <c r="B381" t="inlineStr">
        <is>
          <t>Vinos</t>
        </is>
      </c>
      <c r="C381" t="inlineStr">
        <is>
          <t>Sangría de vino</t>
        </is>
      </c>
      <c r="D381" s="2" t="n">
        <v>9</v>
      </c>
      <c r="E381" s="2">
        <f>IF(D381="","",D381+0.2)</f>
        <v>9.2</v>
      </c>
      <c r="F381" t="inlineStr"/>
    </row>
    <row r="382">
      <c r="A382" t="n">
        <v>384</v>
      </c>
      <c r="B382" t="inlineStr">
        <is>
          <t>Vinos</t>
        </is>
      </c>
      <c r="C382" t="inlineStr">
        <is>
          <t>Sangría de cava</t>
        </is>
      </c>
      <c r="D382" s="2" t="n">
        <v>12.5</v>
      </c>
      <c r="E382" s="2">
        <f>IF(D382="","",D382+0.2)</f>
        <v>12.7</v>
      </c>
      <c r="F382" t="inlineStr"/>
    </row>
    <row r="383">
      <c r="A383" s="3" t="n">
        <v>385</v>
      </c>
      <c r="B383" s="3" t="inlineStr">
        <is>
          <t>Vinos</t>
        </is>
      </c>
      <c r="C383" s="3" t="inlineStr">
        <is>
          <t>Tinto de verano</t>
        </is>
      </c>
      <c r="D383" s="4" t="n">
        <v>5.65</v>
      </c>
      <c r="E383" s="4">
        <f>IF(D383="","",D383+0.2)</f>
        <v>5.85</v>
      </c>
      <c r="F383" s="3" t="inlineStr">
        <is>
          <t>Revisar: aparece más de una vez con precios distintos</t>
        </is>
      </c>
    </row>
    <row r="384">
      <c r="A384" t="n">
        <v>386</v>
      </c>
      <c r="B384" t="inlineStr">
        <is>
          <t>Vinos</t>
        </is>
      </c>
      <c r="C384" t="inlineStr">
        <is>
          <t>Martini blanco</t>
        </is>
      </c>
      <c r="D384" s="2" t="n">
        <v>4.75</v>
      </c>
      <c r="E384" s="2">
        <f>IF(D384="","",D384+0.2)</f>
        <v>4.95</v>
      </c>
      <c r="F384" t="inlineStr"/>
    </row>
    <row r="385">
      <c r="A385" t="n">
        <v>387</v>
      </c>
      <c r="B385" t="inlineStr">
        <is>
          <t>Vinos</t>
        </is>
      </c>
      <c r="C385" t="inlineStr">
        <is>
          <t>Martini rojo</t>
        </is>
      </c>
      <c r="D385" s="2" t="n">
        <v>4.75</v>
      </c>
      <c r="E385" s="2">
        <f>IF(D385="","",D385+0.2)</f>
        <v>4.95</v>
      </c>
      <c r="F385" t="inlineStr"/>
    </row>
    <row r="386">
      <c r="A386" t="n">
        <v>388</v>
      </c>
      <c r="B386" t="inlineStr">
        <is>
          <t>Vinos</t>
        </is>
      </c>
      <c r="C386" t="inlineStr">
        <is>
          <t>Copa de vino tinto</t>
        </is>
      </c>
      <c r="D386" s="2" t="n">
        <v>3.05</v>
      </c>
      <c r="E386" s="2">
        <f>IF(D386="","",D386+0.2)</f>
        <v>3.25</v>
      </c>
      <c r="F386" t="inlineStr"/>
    </row>
    <row r="387">
      <c r="A387" t="n">
        <v>389</v>
      </c>
      <c r="B387" t="inlineStr">
        <is>
          <t>Vinos</t>
        </is>
      </c>
      <c r="C387" t="inlineStr">
        <is>
          <t>Copa de vino blanco</t>
        </is>
      </c>
      <c r="D387" s="2" t="n">
        <v>3.05</v>
      </c>
      <c r="E387" s="2">
        <f>IF(D387="","",D387+0.2)</f>
        <v>3.25</v>
      </c>
      <c r="F387" t="inlineStr"/>
    </row>
    <row r="388">
      <c r="A388" t="n">
        <v>390</v>
      </c>
      <c r="B388" t="inlineStr">
        <is>
          <t>Vinos</t>
        </is>
      </c>
      <c r="C388" t="inlineStr">
        <is>
          <t>Copa de vino rosado</t>
        </is>
      </c>
      <c r="D388" s="2" t="n">
        <v>3.05</v>
      </c>
      <c r="E388" s="2">
        <f>IF(D388="","",D388+0.2)</f>
        <v>3.25</v>
      </c>
      <c r="F388" t="inlineStr"/>
    </row>
    <row r="389">
      <c r="A389" t="n">
        <v>391</v>
      </c>
      <c r="B389" t="inlineStr">
        <is>
          <t>Vinos</t>
        </is>
      </c>
      <c r="C389" t="inlineStr">
        <is>
          <t>Vermut casero</t>
        </is>
      </c>
      <c r="D389" s="2" t="n">
        <v>3.95</v>
      </c>
      <c r="E389" s="2">
        <f>IF(D389="","",D389+0.2)</f>
        <v>4.15</v>
      </c>
      <c r="F389" t="inlineStr"/>
    </row>
    <row r="390">
      <c r="A390" t="n">
        <v>392</v>
      </c>
      <c r="B390" t="inlineStr">
        <is>
          <t>Vinos</t>
        </is>
      </c>
      <c r="C390" t="inlineStr">
        <is>
          <t>Chispazo</t>
        </is>
      </c>
      <c r="D390" s="2" t="n">
        <v>4.95</v>
      </c>
      <c r="E390" s="2">
        <f>IF(D390="","",D390+0.2)</f>
        <v>5.15</v>
      </c>
      <c r="F390" t="inlineStr"/>
    </row>
    <row r="391">
      <c r="A391" t="n">
        <v>393</v>
      </c>
      <c r="B391" t="inlineStr">
        <is>
          <t>Vinos</t>
        </is>
      </c>
      <c r="C391" t="inlineStr">
        <is>
          <t>Vermut blanco o rojo</t>
        </is>
      </c>
      <c r="D391" s="2" t="n">
        <v>5.5</v>
      </c>
      <c r="E391" s="2">
        <f>IF(D391="","",D391+0.2)</f>
        <v>5.7</v>
      </c>
      <c r="F391" t="inlineStr"/>
    </row>
    <row r="392">
      <c r="A392" t="n">
        <v>394</v>
      </c>
      <c r="B392" t="inlineStr">
        <is>
          <t>Desayunos</t>
        </is>
      </c>
      <c r="C392" t="inlineStr">
        <is>
          <t>Cruasán</t>
        </is>
      </c>
      <c r="D392" s="2" t="n">
        <v>1.85</v>
      </c>
      <c r="E392" s="2">
        <f>IF(D392="","",D392+0.2)</f>
        <v>2.05</v>
      </c>
      <c r="F392" t="inlineStr"/>
    </row>
    <row r="393">
      <c r="A393" t="n">
        <v>395</v>
      </c>
      <c r="B393" t="inlineStr">
        <is>
          <t>Desayunos</t>
        </is>
      </c>
      <c r="C393" t="inlineStr">
        <is>
          <t>Cruasán de chocolate</t>
        </is>
      </c>
      <c r="D393" s="2" t="n">
        <v>1.95</v>
      </c>
      <c r="E393" s="2">
        <f>IF(D393="","",D393+0.2)</f>
        <v>2.15</v>
      </c>
      <c r="F393" t="inlineStr"/>
    </row>
    <row r="394">
      <c r="A394" t="n">
        <v>396</v>
      </c>
      <c r="B394" t="inlineStr">
        <is>
          <t>Desayunos</t>
        </is>
      </c>
      <c r="C394" t="inlineStr">
        <is>
          <t>Buñuelo</t>
        </is>
      </c>
      <c r="D394" s="2" t="n">
        <v>0.35</v>
      </c>
      <c r="E394" s="2">
        <f>IF(D394="","",D394+0.2)</f>
        <v>0.55</v>
      </c>
      <c r="F394" t="inlineStr"/>
    </row>
    <row r="395">
      <c r="A395" t="n">
        <v>397</v>
      </c>
      <c r="B395" t="inlineStr">
        <is>
          <t>Desayunos</t>
        </is>
      </c>
      <c r="C395" t="inlineStr">
        <is>
          <t>Bollería especial</t>
        </is>
      </c>
      <c r="D395" s="2" t="n">
        <v>2.3</v>
      </c>
      <c r="E395" s="2">
        <f>IF(D395="","",D395+0.2)</f>
        <v>2.5</v>
      </c>
      <c r="F395" t="inlineStr"/>
    </row>
    <row r="396">
      <c r="A396" t="n">
        <v>398</v>
      </c>
      <c r="B396" t="inlineStr">
        <is>
          <t>Desayunos</t>
        </is>
      </c>
      <c r="C396" t="inlineStr">
        <is>
          <t>Mini cruasán</t>
        </is>
      </c>
      <c r="D396" s="2" t="n">
        <v>0.65</v>
      </c>
      <c r="E396" s="2">
        <f>IF(D396="","",D396+0.2)</f>
        <v>0.85</v>
      </c>
      <c r="F396" t="inlineStr"/>
    </row>
    <row r="397">
      <c r="A397" t="n">
        <v>399</v>
      </c>
      <c r="B397" t="inlineStr">
        <is>
          <t>Desayunos</t>
        </is>
      </c>
      <c r="C397" t="inlineStr">
        <is>
          <t>Llesca de pan con mermelada</t>
        </is>
      </c>
      <c r="D397" s="2" t="n">
        <v>1.95</v>
      </c>
      <c r="E397" s="2">
        <f>IF(D397="","",D397+0.2)</f>
        <v>2.15</v>
      </c>
      <c r="F397" t="inlineStr"/>
    </row>
    <row r="398">
      <c r="A398" t="n">
        <v>400</v>
      </c>
      <c r="B398" t="inlineStr">
        <is>
          <t>Desayunos</t>
        </is>
      </c>
      <c r="C398" t="inlineStr">
        <is>
          <t>Mini de jamón dulce</t>
        </is>
      </c>
      <c r="D398" s="2" t="n">
        <v>2.55</v>
      </c>
      <c r="E398" s="2">
        <f>IF(D398="","",D398+0.2)</f>
        <v>2.75</v>
      </c>
      <c r="F398" t="inlineStr"/>
    </row>
    <row r="399">
      <c r="A399" t="n">
        <v>401</v>
      </c>
      <c r="B399" t="inlineStr">
        <is>
          <t>Desayunos</t>
        </is>
      </c>
      <c r="C399" t="inlineStr">
        <is>
          <t>Mini de jamón salado</t>
        </is>
      </c>
      <c r="D399" s="2" t="n">
        <v>2.85</v>
      </c>
      <c r="E399" s="2">
        <f>IF(D399="","",D399+0.2)</f>
        <v>3.05</v>
      </c>
      <c r="F399" t="inlineStr"/>
    </row>
    <row r="400">
      <c r="A400" t="n">
        <v>402</v>
      </c>
      <c r="B400" t="inlineStr">
        <is>
          <t>Desayunos</t>
        </is>
      </c>
      <c r="C400" t="inlineStr">
        <is>
          <t>Mini de queso</t>
        </is>
      </c>
      <c r="D400" s="2" t="n">
        <v>3</v>
      </c>
      <c r="E400" s="2">
        <f>IF(D400="","",D400+0.2)</f>
        <v>3.2</v>
      </c>
      <c r="F400" t="inlineStr"/>
    </row>
    <row r="401">
      <c r="A401" t="n">
        <v>403</v>
      </c>
      <c r="B401" t="inlineStr">
        <is>
          <t>Desayunos</t>
        </is>
      </c>
      <c r="C401" t="inlineStr">
        <is>
          <t>Mini de queso manchego</t>
        </is>
      </c>
      <c r="D401" s="2" t="n">
        <v>3.05</v>
      </c>
      <c r="E401" s="2">
        <f>IF(D401="","",D401+0.2)</f>
        <v>3.25</v>
      </c>
      <c r="F401" t="inlineStr"/>
    </row>
    <row r="402">
      <c r="A402" t="n">
        <v>404</v>
      </c>
      <c r="B402" t="inlineStr">
        <is>
          <t>Desayunos</t>
        </is>
      </c>
      <c r="C402" t="inlineStr">
        <is>
          <t>Mini de fuet</t>
        </is>
      </c>
      <c r="D402" s="2" t="n">
        <v>2.85</v>
      </c>
      <c r="E402" s="2">
        <f>IF(D402="","",D402+0.2)</f>
        <v>3.05</v>
      </c>
      <c r="F402" t="inlineStr"/>
    </row>
    <row r="403">
      <c r="A403" t="n">
        <v>405</v>
      </c>
      <c r="B403" t="inlineStr">
        <is>
          <t>Desayunos</t>
        </is>
      </c>
      <c r="C403" t="inlineStr">
        <is>
          <t>Mini de tortilla</t>
        </is>
      </c>
      <c r="D403" s="2" t="n">
        <v>2.85</v>
      </c>
      <c r="E403" s="2">
        <f>IF(D403="","",D403+0.2)</f>
        <v>3.05</v>
      </c>
      <c r="F403" t="inlineStr"/>
    </row>
    <row r="404">
      <c r="A404" t="n">
        <v>406</v>
      </c>
      <c r="B404" t="inlineStr">
        <is>
          <t>Desayunos</t>
        </is>
      </c>
      <c r="C404" t="inlineStr">
        <is>
          <t>Mini de atún</t>
        </is>
      </c>
      <c r="D404" s="2" t="n">
        <v>2.65</v>
      </c>
      <c r="E404" s="2">
        <f>IF(D404="","",D404+0.2)</f>
        <v>2.85</v>
      </c>
      <c r="F404" t="inlineStr"/>
    </row>
    <row r="405">
      <c r="A405" s="3" t="n">
        <v>407</v>
      </c>
      <c r="B405" s="3" t="inlineStr">
        <is>
          <t>Desayunos</t>
        </is>
      </c>
      <c r="C405" s="3" t="inlineStr">
        <is>
          <t>Mini vegetal</t>
        </is>
      </c>
      <c r="D405" s="4" t="n">
        <v>2.6</v>
      </c>
      <c r="E405" s="4">
        <f>IF(D405="","",D405+0.2)</f>
        <v>2.8</v>
      </c>
      <c r="F405" s="3" t="inlineStr">
        <is>
          <t>Revisar: aparece más de una vez con precios distintos</t>
        </is>
      </c>
    </row>
    <row r="406">
      <c r="A406" t="n">
        <v>408</v>
      </c>
      <c r="B406" t="inlineStr">
        <is>
          <t>Desayunos</t>
        </is>
      </c>
      <c r="C406" t="inlineStr">
        <is>
          <t>Tostada con mantequilla</t>
        </is>
      </c>
      <c r="D406" s="2" t="n">
        <v>1.95</v>
      </c>
      <c r="E406" s="2">
        <f>IF(D406="","",D406+0.2)</f>
        <v>2.15</v>
      </c>
      <c r="F406" t="inlineStr"/>
    </row>
    <row r="407">
      <c r="A407" t="n">
        <v>409</v>
      </c>
      <c r="B407" t="inlineStr">
        <is>
          <t>Desayunos</t>
        </is>
      </c>
      <c r="C407" t="inlineStr">
        <is>
          <t>Mini + café</t>
        </is>
      </c>
      <c r="D407" s="2" t="n">
        <v>3.15</v>
      </c>
      <c r="E407" s="2">
        <f>IF(D407="","",D407+0.2)</f>
        <v>3.35</v>
      </c>
      <c r="F407" t="inlineStr"/>
    </row>
    <row r="408">
      <c r="A408" t="n">
        <v>410</v>
      </c>
      <c r="B408" t="inlineStr">
        <is>
          <t>Desayunos</t>
        </is>
      </c>
      <c r="C408" t="inlineStr">
        <is>
          <t>Tostada con aceite</t>
        </is>
      </c>
      <c r="D408" s="2" t="n">
        <v>2.45</v>
      </c>
      <c r="E408" s="2">
        <f>IF(D408="","",D408+0.2)</f>
        <v>2.65</v>
      </c>
      <c r="F408" t="inlineStr"/>
    </row>
    <row r="409">
      <c r="A409" t="n">
        <v>411</v>
      </c>
      <c r="B409" t="inlineStr">
        <is>
          <t>Desayunos</t>
        </is>
      </c>
      <c r="C409" t="inlineStr">
        <is>
          <t>Mini burger</t>
        </is>
      </c>
      <c r="D409" s="2" t="n">
        <v>3.35</v>
      </c>
      <c r="E409" s="2">
        <f>IF(D409="","",D409+0.2)</f>
        <v>3.55</v>
      </c>
      <c r="F409" t="inlineStr"/>
    </row>
    <row r="410">
      <c r="A410" t="n">
        <v>412</v>
      </c>
      <c r="B410" t="inlineStr">
        <is>
          <t>Desayunos</t>
        </is>
      </c>
      <c r="C410" t="inlineStr">
        <is>
          <t>Mini de jamón ibérico</t>
        </is>
      </c>
      <c r="D410" s="2" t="n">
        <v>3.05</v>
      </c>
      <c r="E410" s="2">
        <f>IF(D410="","",D410+0.2)</f>
        <v>3.25</v>
      </c>
      <c r="F410" t="inlineStr"/>
    </row>
    <row r="411">
      <c r="A411" t="n">
        <v>413</v>
      </c>
      <c r="B411" t="inlineStr">
        <is>
          <t>Desayunos</t>
        </is>
      </c>
      <c r="C411" t="inlineStr">
        <is>
          <t>Mini de ternera</t>
        </is>
      </c>
      <c r="D411" s="2" t="n">
        <v>2.95</v>
      </c>
      <c r="E411" s="2">
        <f>IF(D411="","",D411+0.2)</f>
        <v>3.15</v>
      </c>
      <c r="F411" t="inlineStr"/>
    </row>
    <row r="412">
      <c r="A412" t="n">
        <v>414</v>
      </c>
      <c r="B412" t="inlineStr">
        <is>
          <t>Desayunos</t>
        </is>
      </c>
      <c r="C412" t="inlineStr">
        <is>
          <t>Mini + carajillo o caña</t>
        </is>
      </c>
      <c r="D412" s="2" t="n">
        <v>4.85</v>
      </c>
      <c r="E412" s="2">
        <f>IF(D412="","",D412+0.2)</f>
        <v>5.05</v>
      </c>
      <c r="F412" t="inlineStr"/>
    </row>
    <row r="413">
      <c r="A413" t="n">
        <v>415</v>
      </c>
      <c r="B413" t="inlineStr">
        <is>
          <t>Desayunos</t>
        </is>
      </c>
      <c r="C413" t="inlineStr">
        <is>
          <t>Mini de tortilla de patata</t>
        </is>
      </c>
      <c r="D413" s="2" t="n">
        <v>3.1</v>
      </c>
      <c r="E413" s="2">
        <f>IF(D413="","",D413+0.2)</f>
        <v>3.3</v>
      </c>
      <c r="F413" t="inlineStr"/>
    </row>
    <row r="414">
      <c r="A414" t="n">
        <v>416</v>
      </c>
      <c r="B414" t="inlineStr">
        <is>
          <t>Desayunos</t>
        </is>
      </c>
      <c r="C414" t="inlineStr">
        <is>
          <t>Mini caliente + refresco</t>
        </is>
      </c>
      <c r="D414" s="2" t="n">
        <v>3.85</v>
      </c>
      <c r="E414" s="2">
        <f>IF(D414="","",D414+0.2)</f>
        <v>4.05</v>
      </c>
      <c r="F414" t="inlineStr"/>
    </row>
    <row r="415">
      <c r="A415" t="n">
        <v>417</v>
      </c>
      <c r="B415" t="inlineStr">
        <is>
          <t>Desayunos</t>
        </is>
      </c>
      <c r="C415" t="inlineStr">
        <is>
          <t>Desayuno Rafa</t>
        </is>
      </c>
      <c r="D415" s="2" t="n">
        <v>10.45</v>
      </c>
      <c r="E415" s="2">
        <f>IF(D415="","",D415+0.2)</f>
        <v>10.65</v>
      </c>
      <c r="F415" t="inlineStr"/>
    </row>
    <row r="416">
      <c r="A416" t="n">
        <v>418</v>
      </c>
      <c r="B416" t="inlineStr">
        <is>
          <t>Desayunos</t>
        </is>
      </c>
      <c r="C416" t="inlineStr">
        <is>
          <t>Pan sin gluten</t>
        </is>
      </c>
      <c r="D416" s="2" t="n">
        <v>3.25</v>
      </c>
      <c r="E416" s="2">
        <f>IF(D416="","",D416+0.2)</f>
        <v>3.45</v>
      </c>
      <c r="F416" t="inlineStr"/>
    </row>
    <row r="417">
      <c r="A417" t="n">
        <v>419</v>
      </c>
      <c r="B417" t="inlineStr">
        <is>
          <t>Desayunos</t>
        </is>
      </c>
      <c r="C417" t="inlineStr">
        <is>
          <t>Tostada con mermelada y mantequilla</t>
        </is>
      </c>
      <c r="D417" s="2" t="n">
        <v>2.45</v>
      </c>
      <c r="E417" s="2">
        <f>IF(D417="","",D417+0.2)</f>
        <v>2.65</v>
      </c>
      <c r="F417" t="inlineStr"/>
    </row>
    <row r="418">
      <c r="A418" t="n">
        <v>420</v>
      </c>
      <c r="B418" t="inlineStr">
        <is>
          <t>Desayunos</t>
        </is>
      </c>
      <c r="C418" t="inlineStr">
        <is>
          <t>Mini de bacon</t>
        </is>
      </c>
      <c r="D418" s="2" t="n">
        <v>2.95</v>
      </c>
      <c r="E418" s="2">
        <f>IF(D418="","",D418+0.2)</f>
        <v>3.15</v>
      </c>
      <c r="F418" t="inlineStr"/>
    </row>
    <row r="419">
      <c r="A419" t="n">
        <v>421</v>
      </c>
      <c r="B419" t="inlineStr">
        <is>
          <t>Desayunos</t>
        </is>
      </c>
      <c r="C419" t="inlineStr">
        <is>
          <t>Mini de lomo</t>
        </is>
      </c>
      <c r="D419" s="2" t="n">
        <v>2.65</v>
      </c>
      <c r="E419" s="2">
        <f>IF(D419="","",D419+0.2)</f>
        <v>2.85</v>
      </c>
      <c r="F419" t="inlineStr"/>
    </row>
    <row r="420">
      <c r="A420" t="n">
        <v>422</v>
      </c>
      <c r="B420" t="inlineStr">
        <is>
          <t>Desayunos</t>
        </is>
      </c>
      <c r="C420" t="inlineStr">
        <is>
          <t>Mini de panceta</t>
        </is>
      </c>
      <c r="D420" s="2" t="n">
        <v>3.25</v>
      </c>
      <c r="E420" s="2">
        <f>IF(D420="","",D420+0.2)</f>
        <v>3.45</v>
      </c>
      <c r="F420" t="inlineStr"/>
    </row>
    <row r="421">
      <c r="A421" t="n">
        <v>423</v>
      </c>
      <c r="B421" t="inlineStr">
        <is>
          <t>Desayunos</t>
        </is>
      </c>
      <c r="C421" t="inlineStr">
        <is>
          <t>Mini de salchicha del país</t>
        </is>
      </c>
      <c r="D421" s="2" t="n">
        <v>2.85</v>
      </c>
      <c r="E421" s="2">
        <f>IF(D421="","",D421+0.2)</f>
        <v>3.05</v>
      </c>
      <c r="F421" t="inlineStr"/>
    </row>
    <row r="422">
      <c r="A422" s="3" t="n">
        <v>424</v>
      </c>
      <c r="B422" s="3" t="inlineStr">
        <is>
          <t>Desayunos</t>
        </is>
      </c>
      <c r="C422" s="3" t="inlineStr">
        <is>
          <t>Mini vegetal</t>
        </is>
      </c>
      <c r="D422" s="4" t="n">
        <v>3.25</v>
      </c>
      <c r="E422" s="4">
        <f>IF(D422="","",D422+0.2)</f>
        <v>3.45</v>
      </c>
      <c r="F422" s="3" t="inlineStr">
        <is>
          <t>Revisar: aparece más de una vez con precios distintos</t>
        </is>
      </c>
    </row>
    <row r="423">
      <c r="A423" t="n">
        <v>425</v>
      </c>
      <c r="B423" t="inlineStr">
        <is>
          <t>Desayunos</t>
        </is>
      </c>
      <c r="C423" t="inlineStr">
        <is>
          <t>Bollería especial</t>
        </is>
      </c>
      <c r="D423" s="2" t="n">
        <v>2.3</v>
      </c>
      <c r="E423" s="2">
        <f>IF(D423="","",D423+0.2)</f>
        <v>2.5</v>
      </c>
      <c r="F423" t="inlineStr"/>
    </row>
    <row r="424">
      <c r="A424" t="n">
        <v>426</v>
      </c>
      <c r="B424" t="inlineStr">
        <is>
          <t>Desayunos</t>
        </is>
      </c>
      <c r="C424" t="inlineStr">
        <is>
          <t>Mini de pechuga</t>
        </is>
      </c>
      <c r="D424" s="2" t="n">
        <v>2.85</v>
      </c>
      <c r="E424" s="2">
        <f>IF(D424="","",D424+0.2)</f>
        <v>3.05</v>
      </c>
      <c r="F424" t="inlineStr"/>
    </row>
    <row r="425">
      <c r="A425" t="n">
        <v>427</v>
      </c>
      <c r="B425" t="inlineStr">
        <is>
          <t>Desayunos</t>
        </is>
      </c>
      <c r="C425" t="inlineStr">
        <is>
          <t>Tostada con tomate</t>
        </is>
      </c>
      <c r="D425" s="2" t="n">
        <v>2.25</v>
      </c>
      <c r="E425" s="2">
        <f>IF(D425="","",D425+0.2)</f>
        <v>2.45</v>
      </c>
      <c r="F425" t="inlineStr"/>
    </row>
    <row r="426">
      <c r="A426" t="n">
        <v>428</v>
      </c>
      <c r="B426" t="inlineStr">
        <is>
          <t>Desayunos</t>
        </is>
      </c>
      <c r="C426" t="inlineStr">
        <is>
          <t>Mini de frankfurt</t>
        </is>
      </c>
      <c r="D426" s="2" t="n">
        <v>2.85</v>
      </c>
      <c r="E426" s="2">
        <f>IF(D426="","",D426+0.2)</f>
        <v>3.05</v>
      </c>
      <c r="F426" t="inlineStr"/>
    </row>
    <row r="427">
      <c r="A427" t="n">
        <v>429</v>
      </c>
      <c r="B427" t="inlineStr">
        <is>
          <t>Desayunos</t>
        </is>
      </c>
      <c r="C427" t="inlineStr">
        <is>
          <t>Mini de butifarra blanca</t>
        </is>
      </c>
      <c r="D427" s="2" t="n">
        <v>2.95</v>
      </c>
      <c r="E427" s="2">
        <f>IF(D427="","",D427+0.2)</f>
        <v>3.15</v>
      </c>
      <c r="F427" t="inlineStr"/>
    </row>
    <row r="428">
      <c r="A428" t="n">
        <v>430</v>
      </c>
      <c r="B428" t="inlineStr">
        <is>
          <t>Desayunos</t>
        </is>
      </c>
      <c r="C428" t="inlineStr">
        <is>
          <t>Mini de butifarra negra</t>
        </is>
      </c>
      <c r="D428" s="2" t="n">
        <v>2.95</v>
      </c>
      <c r="E428" s="2">
        <f>IF(D428="","",D428+0.2)</f>
        <v>3.15</v>
      </c>
      <c r="F428" t="inlineStr"/>
    </row>
    <row r="429">
      <c r="A429" t="n">
        <v>431</v>
      </c>
      <c r="B429" t="inlineStr">
        <is>
          <t>Desayunos</t>
        </is>
      </c>
      <c r="C429" t="inlineStr">
        <is>
          <t>Donut</t>
        </is>
      </c>
      <c r="D429" s="2" t="n">
        <v>1.5</v>
      </c>
      <c r="E429" s="2">
        <f>IF(D429="","",D429+0.2)</f>
        <v>1.7</v>
      </c>
      <c r="F429" t="inlineStr"/>
    </row>
    <row r="430">
      <c r="A430" t="n">
        <v>432</v>
      </c>
      <c r="B430" t="inlineStr">
        <is>
          <t>Desayunos</t>
        </is>
      </c>
      <c r="C430" t="inlineStr">
        <is>
          <t>Tarta de manzana</t>
        </is>
      </c>
      <c r="D430" s="2" t="n">
        <v>2.4</v>
      </c>
      <c r="E430" s="2">
        <f>IF(D430="","",D430+0.2)</f>
        <v>2.6</v>
      </c>
      <c r="F430" t="inlineStr"/>
    </row>
    <row r="431">
      <c r="A431" t="n">
        <v>433</v>
      </c>
      <c r="B431" t="inlineStr">
        <is>
          <t>Desayunos</t>
        </is>
      </c>
      <c r="C431" t="inlineStr">
        <is>
          <t>Donut XL</t>
        </is>
      </c>
      <c r="D431" s="2" t="n">
        <v>1.9</v>
      </c>
      <c r="E431" s="2">
        <f>IF(D431="","",D431+0.2)</f>
        <v>2.1</v>
      </c>
      <c r="F431" t="inlineStr"/>
    </row>
    <row r="432">
      <c r="A432" t="n">
        <v>434</v>
      </c>
      <c r="B432" t="inlineStr">
        <is>
          <t>Desayunos</t>
        </is>
      </c>
      <c r="C432" t="inlineStr">
        <is>
          <t>Herradura</t>
        </is>
      </c>
      <c r="D432" s="2" t="n">
        <v>2.45</v>
      </c>
      <c r="E432" s="2">
        <f>IF(D432="","",D432+0.2)</f>
        <v>2.65</v>
      </c>
      <c r="F432" t="inlineStr"/>
    </row>
    <row r="433">
      <c r="A433" t="n">
        <v>435</v>
      </c>
      <c r="B433" t="inlineStr">
        <is>
          <t>Bocadillos fríos</t>
        </is>
      </c>
      <c r="C433" t="inlineStr">
        <is>
          <t>Flauta de jamón serrano</t>
        </is>
      </c>
      <c r="D433" s="2" t="n">
        <v>5.95</v>
      </c>
      <c r="E433" s="2">
        <f>IF(D433="","",D433+0.2)</f>
        <v>6.15</v>
      </c>
      <c r="F433" t="inlineStr"/>
    </row>
    <row r="434">
      <c r="A434" t="n">
        <v>436</v>
      </c>
      <c r="B434" t="inlineStr">
        <is>
          <t>Bocadillos fríos</t>
        </is>
      </c>
      <c r="C434" t="inlineStr">
        <is>
          <t>Viena de jamón serrano</t>
        </is>
      </c>
      <c r="D434" s="2" t="n">
        <v>4.35</v>
      </c>
      <c r="E434" s="2">
        <f>IF(D434="","",D434+0.2)</f>
        <v>4.55</v>
      </c>
      <c r="F434" t="inlineStr"/>
    </row>
    <row r="435">
      <c r="A435" t="n">
        <v>437</v>
      </c>
      <c r="B435" t="inlineStr">
        <is>
          <t>Bocadillos fríos</t>
        </is>
      </c>
      <c r="C435" t="inlineStr">
        <is>
          <t>Viena de jamón dulce</t>
        </is>
      </c>
      <c r="D435" s="2" t="n">
        <v>4.35</v>
      </c>
      <c r="E435" s="2">
        <f>IF(D435="","",D435+0.2)</f>
        <v>4.55</v>
      </c>
      <c r="F435" t="inlineStr"/>
    </row>
    <row r="436">
      <c r="A436" t="n">
        <v>438</v>
      </c>
      <c r="B436" t="inlineStr">
        <is>
          <t>Bocadillos fríos</t>
        </is>
      </c>
      <c r="C436" t="inlineStr">
        <is>
          <t>Flauta de jamón dulce</t>
        </is>
      </c>
      <c r="D436" s="2" t="n">
        <v>5.55</v>
      </c>
      <c r="E436" s="2">
        <f>IF(D436="","",D436+0.2)</f>
        <v>5.75</v>
      </c>
      <c r="F436" t="inlineStr"/>
    </row>
    <row r="437">
      <c r="A437" t="n">
        <v>439</v>
      </c>
      <c r="B437" t="inlineStr">
        <is>
          <t>Bocadillos fríos</t>
        </is>
      </c>
      <c r="C437" t="inlineStr">
        <is>
          <t>Flauta de atún</t>
        </is>
      </c>
      <c r="D437" s="2" t="n">
        <v>4.8</v>
      </c>
      <c r="E437" s="2">
        <f>IF(D437="","",D437+0.2)</f>
        <v>5.0</v>
      </c>
      <c r="F437" t="inlineStr"/>
    </row>
    <row r="438">
      <c r="A438" t="n">
        <v>440</v>
      </c>
      <c r="B438" t="inlineStr">
        <is>
          <t>Bocadillos fríos</t>
        </is>
      </c>
      <c r="C438" t="inlineStr">
        <is>
          <t>Viena de atún</t>
        </is>
      </c>
      <c r="D438" s="2" t="n">
        <v>4</v>
      </c>
      <c r="E438" s="2">
        <f>IF(D438="","",D438+0.2)</f>
        <v>4.2</v>
      </c>
      <c r="F438" t="inlineStr"/>
    </row>
    <row r="439">
      <c r="A439" t="n">
        <v>441</v>
      </c>
      <c r="B439" t="inlineStr">
        <is>
          <t>Bocadillos fríos</t>
        </is>
      </c>
      <c r="C439" t="inlineStr">
        <is>
          <t>Flauta de longaniza</t>
        </is>
      </c>
      <c r="D439" s="2" t="n">
        <v>5.55</v>
      </c>
      <c r="E439" s="2">
        <f>IF(D439="","",D439+0.2)</f>
        <v>5.75</v>
      </c>
      <c r="F439" t="inlineStr"/>
    </row>
    <row r="440">
      <c r="A440" t="n">
        <v>442</v>
      </c>
      <c r="B440" t="inlineStr">
        <is>
          <t>Bocadillos fríos</t>
        </is>
      </c>
      <c r="C440" t="inlineStr">
        <is>
          <t>Viena de longaniza</t>
        </is>
      </c>
      <c r="D440" s="2" t="n">
        <v>3.85</v>
      </c>
      <c r="E440" s="2">
        <f>IF(D440="","",D440+0.2)</f>
        <v>4.05</v>
      </c>
      <c r="F440" t="inlineStr"/>
    </row>
    <row r="441">
      <c r="A441" t="n">
        <v>443</v>
      </c>
      <c r="B441" t="inlineStr">
        <is>
          <t>Bocadillos fríos</t>
        </is>
      </c>
      <c r="C441" t="inlineStr">
        <is>
          <t>Flauta de jamón ibérico</t>
        </is>
      </c>
      <c r="D441" s="2" t="n">
        <v>7.75</v>
      </c>
      <c r="E441" s="2">
        <f>IF(D441="","",D441+0.2)</f>
        <v>7.95</v>
      </c>
      <c r="F441" t="inlineStr"/>
    </row>
    <row r="442">
      <c r="A442" t="n">
        <v>444</v>
      </c>
      <c r="B442" t="inlineStr">
        <is>
          <t>Bocadillos fríos</t>
        </is>
      </c>
      <c r="C442" t="inlineStr">
        <is>
          <t>Flauta de queso semicurado</t>
        </is>
      </c>
      <c r="D442" s="2" t="n">
        <v>6.95</v>
      </c>
      <c r="E442" s="2">
        <f>IF(D442="","",D442+0.2)</f>
        <v>7.15</v>
      </c>
      <c r="F442" t="inlineStr"/>
    </row>
    <row r="443">
      <c r="A443" t="n">
        <v>445</v>
      </c>
      <c r="B443" t="inlineStr">
        <is>
          <t>Bocadillos fríos</t>
        </is>
      </c>
      <c r="C443" t="inlineStr">
        <is>
          <t>Viena de queso semicurado</t>
        </is>
      </c>
      <c r="D443" s="2" t="n">
        <v>3.75</v>
      </c>
      <c r="E443" s="2">
        <f>IF(D443="","",D443+0.2)</f>
        <v>3.95</v>
      </c>
      <c r="F443" t="inlineStr"/>
    </row>
    <row r="444">
      <c r="A444" t="n">
        <v>446</v>
      </c>
      <c r="B444" t="inlineStr">
        <is>
          <t>Bocadillos fríos</t>
        </is>
      </c>
      <c r="C444" t="inlineStr">
        <is>
          <t>Flauta de anchoas (6 unidades)</t>
        </is>
      </c>
      <c r="D444" s="2" t="n">
        <v>6.1</v>
      </c>
      <c r="E444" s="2">
        <f>IF(D444="","",D444+0.2)</f>
        <v>6.3</v>
      </c>
      <c r="F444" t="inlineStr"/>
    </row>
    <row r="445">
      <c r="A445" t="n">
        <v>447</v>
      </c>
      <c r="B445" t="inlineStr">
        <is>
          <t>Bocadillos fríos</t>
        </is>
      </c>
      <c r="C445" t="inlineStr">
        <is>
          <t>Viena de anchoas (4 unidades)</t>
        </is>
      </c>
      <c r="D445" s="2" t="n">
        <v>5.1</v>
      </c>
      <c r="E445" s="2">
        <f>IF(D445="","",D445+0.2)</f>
        <v>5.3</v>
      </c>
      <c r="F445" t="inlineStr"/>
    </row>
    <row r="446">
      <c r="A446" t="n">
        <v>448</v>
      </c>
      <c r="B446" t="inlineStr">
        <is>
          <t>Bocadillos fríos</t>
        </is>
      </c>
      <c r="C446" t="inlineStr">
        <is>
          <t>Flauta de queso manchego</t>
        </is>
      </c>
      <c r="D446" s="2" t="n">
        <v>8.5</v>
      </c>
      <c r="E446" s="2">
        <f>IF(D446="","",D446+0.2)</f>
        <v>8.7</v>
      </c>
      <c r="F446" t="inlineStr"/>
    </row>
    <row r="447">
      <c r="A447" t="n">
        <v>449</v>
      </c>
      <c r="B447" t="inlineStr">
        <is>
          <t>Suplementos</t>
        </is>
      </c>
      <c r="C447" t="inlineStr">
        <is>
          <t>Cebolla</t>
        </is>
      </c>
      <c r="D447" s="2" t="n">
        <v>1</v>
      </c>
      <c r="E447" s="2">
        <f>IF(D447="","",D447+0.2)</f>
        <v>1.2</v>
      </c>
      <c r="F447" t="inlineStr"/>
    </row>
    <row r="448">
      <c r="A448" t="n">
        <v>450</v>
      </c>
      <c r="B448" t="inlineStr">
        <is>
          <t>Suplementos</t>
        </is>
      </c>
      <c r="C448" t="inlineStr">
        <is>
          <t>Ensalada</t>
        </is>
      </c>
      <c r="D448" s="2" t="n">
        <v>1.2</v>
      </c>
      <c r="E448" s="2">
        <f>IF(D448="","",D448+0.2)</f>
        <v>1.4</v>
      </c>
      <c r="F448" t="inlineStr"/>
    </row>
    <row r="449">
      <c r="A449" t="n">
        <v>451</v>
      </c>
      <c r="B449" t="inlineStr">
        <is>
          <t>Infusiones</t>
        </is>
      </c>
      <c r="C449" t="inlineStr">
        <is>
          <t>Chai latte matcha</t>
        </is>
      </c>
      <c r="D449" s="2" t="n">
        <v>3.15</v>
      </c>
      <c r="E449" s="2">
        <f>IF(D449="","",D449+0.2)</f>
        <v>3.35</v>
      </c>
      <c r="F449" t="inlineStr"/>
    </row>
    <row r="450">
      <c r="A450" t="n">
        <v>452</v>
      </c>
      <c r="B450" t="inlineStr">
        <is>
          <t>Infusiones</t>
        </is>
      </c>
      <c r="C450" t="inlineStr">
        <is>
          <t>Chai latte vainilla</t>
        </is>
      </c>
      <c r="D450" s="2" t="n">
        <v>3.15</v>
      </c>
      <c r="E450" s="2">
        <f>IF(D450="","",D450+0.2)</f>
        <v>3.35</v>
      </c>
      <c r="F450" t="inlineStr"/>
    </row>
    <row r="451">
      <c r="A451" t="n">
        <v>453</v>
      </c>
      <c r="B451" t="inlineStr">
        <is>
          <t>Infusiones</t>
        </is>
      </c>
      <c r="C451" t="inlineStr">
        <is>
          <t>Chai latte especiado</t>
        </is>
      </c>
      <c r="D451" s="2" t="n">
        <v>3.15</v>
      </c>
      <c r="E451" s="2">
        <f>IF(D451="","",D451+0.2)</f>
        <v>3.35</v>
      </c>
      <c r="F451" t="inlineStr"/>
    </row>
    <row r="452">
      <c r="A452" t="n">
        <v>454</v>
      </c>
      <c r="B452" t="inlineStr">
        <is>
          <t>Infusiones</t>
        </is>
      </c>
      <c r="C452" t="inlineStr">
        <is>
          <t>Chai latte cúrcuma</t>
        </is>
      </c>
      <c r="D452" s="2" t="n">
        <v>3.15</v>
      </c>
      <c r="E452" s="2">
        <f>IF(D452="","",D452+0.2)</f>
        <v>3.35</v>
      </c>
      <c r="F452" t="inlineStr"/>
    </row>
    <row r="453">
      <c r="A453" t="n">
        <v>455</v>
      </c>
      <c r="B453" t="inlineStr">
        <is>
          <t>Infusiones</t>
        </is>
      </c>
      <c r="C453" t="inlineStr">
        <is>
          <t>Té negro</t>
        </is>
      </c>
      <c r="D453" s="2" t="n">
        <v>2.25</v>
      </c>
      <c r="E453" s="2">
        <f>IF(D453="","",D453+0.2)</f>
        <v>2.45</v>
      </c>
      <c r="F453" t="inlineStr"/>
    </row>
    <row r="454">
      <c r="A454" t="n">
        <v>456</v>
      </c>
      <c r="B454" t="inlineStr">
        <is>
          <t>Infusiones</t>
        </is>
      </c>
      <c r="C454" t="inlineStr">
        <is>
          <t>Té rojo</t>
        </is>
      </c>
      <c r="D454" s="2" t="n">
        <v>2.25</v>
      </c>
      <c r="E454" s="2">
        <f>IF(D454="","",D454+0.2)</f>
        <v>2.45</v>
      </c>
      <c r="F454" t="inlineStr"/>
    </row>
    <row r="455">
      <c r="A455" t="n">
        <v>457</v>
      </c>
      <c r="B455" t="inlineStr">
        <is>
          <t>Infusiones</t>
        </is>
      </c>
      <c r="C455" t="inlineStr">
        <is>
          <t>Té verde</t>
        </is>
      </c>
      <c r="D455" s="2" t="n">
        <v>2.25</v>
      </c>
      <c r="E455" s="2">
        <f>IF(D455="","",D455+0.2)</f>
        <v>2.45</v>
      </c>
      <c r="F455" t="inlineStr"/>
    </row>
    <row r="456">
      <c r="A456" t="n">
        <v>458</v>
      </c>
      <c r="B456" t="inlineStr">
        <is>
          <t>Infusiones</t>
        </is>
      </c>
      <c r="C456" t="inlineStr">
        <is>
          <t>Té frutas del bosque</t>
        </is>
      </c>
      <c r="D456" s="2" t="n">
        <v>2.25</v>
      </c>
      <c r="E456" s="2">
        <f>IF(D456="","",D456+0.2)</f>
        <v>2.45</v>
      </c>
      <c r="F456" t="inlineStr"/>
    </row>
    <row r="457">
      <c r="A457" t="n">
        <v>459</v>
      </c>
      <c r="B457" t="inlineStr">
        <is>
          <t>Infusiones</t>
        </is>
      </c>
      <c r="C457" t="inlineStr">
        <is>
          <t>Té rooibos</t>
        </is>
      </c>
      <c r="D457" s="2" t="n">
        <v>2.25</v>
      </c>
      <c r="E457" s="2">
        <f>IF(D457="","",D457+0.2)</f>
        <v>2.45</v>
      </c>
      <c r="F457" t="inlineStr"/>
    </row>
    <row r="458">
      <c r="A458" t="n">
        <v>460</v>
      </c>
      <c r="B458" t="inlineStr">
        <is>
          <t>Infusiones</t>
        </is>
      </c>
      <c r="C458" t="inlineStr">
        <is>
          <t>Tila</t>
        </is>
      </c>
      <c r="D458" s="2" t="n">
        <v>2.25</v>
      </c>
      <c r="E458" s="2">
        <f>IF(D458="","",D458+0.2)</f>
        <v>2.45</v>
      </c>
      <c r="F458" t="inlineStr"/>
    </row>
    <row r="459">
      <c r="A459" t="n">
        <v>461</v>
      </c>
      <c r="B459" t="inlineStr">
        <is>
          <t>Infusiones</t>
        </is>
      </c>
      <c r="C459" t="inlineStr">
        <is>
          <t>Manzanilla</t>
        </is>
      </c>
      <c r="D459" s="2" t="n">
        <v>2.25</v>
      </c>
      <c r="E459" s="2">
        <f>IF(D459="","",D459+0.2)</f>
        <v>2.45</v>
      </c>
      <c r="F459" t="inlineStr"/>
    </row>
    <row r="460">
      <c r="A460" t="n">
        <v>462</v>
      </c>
      <c r="B460" t="inlineStr">
        <is>
          <t>Infusiones</t>
        </is>
      </c>
      <c r="C460" t="inlineStr">
        <is>
          <t>Poleo menta</t>
        </is>
      </c>
      <c r="D460" s="2" t="n">
        <v>2.25</v>
      </c>
      <c r="E460" s="2">
        <f>IF(D460="","",D460+0.2)</f>
        <v>2.45</v>
      </c>
      <c r="F460" t="inlineStr"/>
    </row>
    <row r="461">
      <c r="A461" t="n">
        <v>463</v>
      </c>
      <c r="B461" t="inlineStr">
        <is>
          <t>Infusiones</t>
        </is>
      </c>
      <c r="C461" t="inlineStr">
        <is>
          <t>Infusión cúrcuma, manzana y canela</t>
        </is>
      </c>
      <c r="D461" s="2" t="n">
        <v>2.25</v>
      </c>
      <c r="E461" s="2">
        <f>IF(D461="","",D461+0.2)</f>
        <v>2.45</v>
      </c>
      <c r="F461" t="inlineStr"/>
    </row>
    <row r="462">
      <c r="A462" t="n">
        <v>464</v>
      </c>
      <c r="B462" t="inlineStr">
        <is>
          <t>Infusiones</t>
        </is>
      </c>
      <c r="C462" t="inlineStr">
        <is>
          <t>Jengibre</t>
        </is>
      </c>
      <c r="D462" s="2" t="n">
        <v>2.25</v>
      </c>
      <c r="E462" s="2">
        <f>IF(D462="","",D462+0.2)</f>
        <v>2.45</v>
      </c>
      <c r="F462" t="inlineStr"/>
    </row>
  </sheetData>
  <autoFilter ref="A1:F462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1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48" customWidth="1" min="2" max="2"/>
    <col width="13" customWidth="1" min="3" max="3"/>
    <col width="22" customWidth="1" min="4" max="4"/>
    <col width="62" customWidth="1" min="5" max="5"/>
  </cols>
  <sheetData>
    <row r="1">
      <c r="A1" s="1" t="inlineStr">
        <is>
          <t>Código</t>
        </is>
      </c>
      <c r="B1" s="1" t="inlineStr">
        <is>
          <t>Nombre</t>
        </is>
      </c>
      <c r="C1" s="1" t="inlineStr">
        <is>
          <t>Tarifa 1 (€)</t>
        </is>
      </c>
      <c r="D1" s="1" t="inlineStr">
        <is>
          <t>Tarifa 2 - Terraza (€)</t>
        </is>
      </c>
      <c r="E1" s="1" t="inlineStr">
        <is>
          <t>Nota</t>
        </is>
      </c>
    </row>
    <row r="2">
      <c r="A2" t="n">
        <v>1</v>
      </c>
      <c r="B2" t="str">
        <f>Productos!C2</f>
        <v>Bikini sobrasada</v>
      </c>
      <c r="C2" s="2">
        <f>IF(Productos!D2="","",Productos!D2)</f>
        <v>3.35</v>
      </c>
      <c r="D2" s="2">
        <f>IF(Productos!E2="","",Productos!E2)</f>
        <v>3.55</v>
      </c>
      <c r="E2" t="inlineStr"/>
    </row>
    <row r="3">
      <c r="A3" s="3" t="n">
        <v>2</v>
      </c>
      <c r="B3" s="3" t="str">
        <f>Productos!C3</f>
        <v>Bikini P. país</v>
      </c>
      <c r="C3" s="4">
        <f>IF(Productos!D3="","",Productos!D3)</f>
        <v>3.35</v>
      </c>
      <c r="D3" s="4">
        <f>IF(Productos!E3="","",Productos!E3)</f>
        <v>3.55</v>
      </c>
      <c r="E3" s="3" t="inlineStr">
        <is>
          <t>Revisar: 'P. país' en la tarifa, no sé si es pa de pagès o pernil del país</t>
        </is>
      </c>
    </row>
    <row r="4">
      <c r="A4" t="n">
        <v>3</v>
      </c>
      <c r="B4" t="str">
        <f>Productos!C4</f>
        <v>Bikini jamón dulce</v>
      </c>
      <c r="C4" s="2">
        <f>IF(Productos!D4="","",Productos!D4)</f>
        <v>3.1</v>
      </c>
      <c r="D4" s="2">
        <f>IF(Productos!E4="","",Productos!E4)</f>
        <v>3.3</v>
      </c>
      <c r="E4" t="inlineStr"/>
    </row>
    <row r="5">
      <c r="A5" t="n">
        <v>4</v>
      </c>
      <c r="B5" t="str">
        <f>Productos!C5</f>
        <v>Bikini especial</v>
      </c>
      <c r="C5" s="2">
        <f>IF(Productos!D5="","",Productos!D5)</f>
        <v>4.5</v>
      </c>
      <c r="D5" s="2">
        <f>IF(Productos!E5="","",Productos!E5)</f>
        <v>4.7</v>
      </c>
      <c r="E5" t="inlineStr"/>
    </row>
    <row r="6">
      <c r="A6" t="n">
        <v>5</v>
      </c>
      <c r="B6" t="str">
        <f>Productos!C6</f>
        <v>Butifarra flauta</v>
      </c>
      <c r="C6" s="2">
        <f>IF(Productos!D6="","",Productos!D6)</f>
        <v>5.95</v>
      </c>
      <c r="D6" s="2">
        <f>IF(Productos!E6="","",Productos!E6)</f>
        <v>6.15</v>
      </c>
      <c r="E6" t="inlineStr"/>
    </row>
    <row r="7">
      <c r="A7" t="n">
        <v>6</v>
      </c>
      <c r="B7" t="str">
        <f>Productos!C7</f>
        <v>Butifarra viena</v>
      </c>
      <c r="C7" s="2">
        <f>IF(Productos!D7="","",Productos!D7)</f>
        <v>4.9</v>
      </c>
      <c r="D7" s="2">
        <f>IF(Productos!E7="","",Productos!E7)</f>
        <v>5.1</v>
      </c>
      <c r="E7" t="inlineStr"/>
    </row>
    <row r="8">
      <c r="A8" t="n">
        <v>7</v>
      </c>
      <c r="B8" t="str">
        <f>Productos!C8</f>
        <v>Butifarra con patatas fritas</v>
      </c>
      <c r="C8" s="2">
        <f>IF(Productos!D8="","",Productos!D8)</f>
        <v>6.2</v>
      </c>
      <c r="D8" s="2">
        <f>IF(Productos!E8="","",Productos!E8)</f>
        <v>6.4</v>
      </c>
      <c r="E8" t="inlineStr"/>
    </row>
    <row r="9">
      <c r="A9" t="n">
        <v>8</v>
      </c>
      <c r="B9" t="str">
        <f>Productos!C9</f>
        <v>Bratwurst flauta</v>
      </c>
      <c r="C9" s="2">
        <f>IF(Productos!D9="","",Productos!D9)</f>
        <v>5.15</v>
      </c>
      <c r="D9" s="2">
        <f>IF(Productos!E9="","",Productos!E9)</f>
        <v>5.35</v>
      </c>
      <c r="E9" t="inlineStr"/>
    </row>
    <row r="10">
      <c r="A10" t="n">
        <v>9</v>
      </c>
      <c r="B10" t="str">
        <f>Productos!C10</f>
        <v>Bratwurst viena</v>
      </c>
      <c r="C10" s="2">
        <f>IF(Productos!D10="","",Productos!D10)</f>
        <v>4.55</v>
      </c>
      <c r="D10" s="2">
        <f>IF(Productos!E10="","",Productos!E10)</f>
        <v>4.75</v>
      </c>
      <c r="E10" t="inlineStr"/>
    </row>
    <row r="11">
      <c r="A11" t="n">
        <v>10</v>
      </c>
      <c r="B11" t="str">
        <f>Productos!C11</f>
        <v>Cervela flauta</v>
      </c>
      <c r="C11" s="2">
        <f>IF(Productos!D11="","",Productos!D11)</f>
        <v>5.15</v>
      </c>
      <c r="D11" s="2">
        <f>IF(Productos!E11="","",Productos!E11)</f>
        <v>5.35</v>
      </c>
      <c r="E11" t="inlineStr"/>
    </row>
    <row r="12">
      <c r="A12" t="n">
        <v>11</v>
      </c>
      <c r="B12" t="str">
        <f>Productos!C12</f>
        <v>Cervela viena</v>
      </c>
      <c r="C12" s="2">
        <f>IF(Productos!D12="","",Productos!D12)</f>
        <v>4.65</v>
      </c>
      <c r="D12" s="2">
        <f>IF(Productos!E12="","",Productos!E12)</f>
        <v>4.85</v>
      </c>
      <c r="E12" t="inlineStr"/>
    </row>
    <row r="13">
      <c r="A13" t="n">
        <v>12</v>
      </c>
      <c r="B13" t="str">
        <f>Productos!C13</f>
        <v>Cansalada flauta</v>
      </c>
      <c r="C13" s="2">
        <f>IF(Productos!D13="","",Productos!D13)</f>
        <v>5.35</v>
      </c>
      <c r="D13" s="2">
        <f>IF(Productos!E13="","",Productos!E13)</f>
        <v>5.55</v>
      </c>
      <c r="E13" t="inlineStr"/>
    </row>
    <row r="14">
      <c r="A14" t="n">
        <v>13</v>
      </c>
      <c r="B14" t="str">
        <f>Productos!C14</f>
        <v>Cansalada viena</v>
      </c>
      <c r="C14" s="2">
        <f>IF(Productos!D14="","",Productos!D14)</f>
        <v>4.55</v>
      </c>
      <c r="D14" s="2">
        <f>IF(Productos!E14="","",Productos!E14)</f>
        <v>4.75</v>
      </c>
      <c r="E14" t="inlineStr"/>
    </row>
    <row r="15">
      <c r="A15" t="n">
        <v>14</v>
      </c>
      <c r="B15" t="str">
        <f>Productos!C15</f>
        <v>Bacon flauta</v>
      </c>
      <c r="C15" s="2">
        <f>IF(Productos!D15="","",Productos!D15)</f>
        <v>5.35</v>
      </c>
      <c r="D15" s="2">
        <f>IF(Productos!E15="","",Productos!E15)</f>
        <v>5.55</v>
      </c>
      <c r="E15" t="inlineStr"/>
    </row>
    <row r="16">
      <c r="A16" t="n">
        <v>15</v>
      </c>
      <c r="B16" t="str">
        <f>Productos!C16</f>
        <v>Bacon viena</v>
      </c>
      <c r="C16" s="2">
        <f>IF(Productos!D16="","",Productos!D16)</f>
        <v>4.55</v>
      </c>
      <c r="D16" s="2">
        <f>IF(Productos!E16="","",Productos!E16)</f>
        <v>4.75</v>
      </c>
      <c r="E16" t="inlineStr"/>
    </row>
    <row r="17">
      <c r="A17" t="n">
        <v>16</v>
      </c>
      <c r="B17" t="str">
        <f>Productos!C17</f>
        <v>Frankfurt flauta</v>
      </c>
      <c r="C17" s="2">
        <f>IF(Productos!D17="","",Productos!D17)</f>
        <v>4.75</v>
      </c>
      <c r="D17" s="2">
        <f>IF(Productos!E17="","",Productos!E17)</f>
        <v>4.95</v>
      </c>
      <c r="E17" t="inlineStr"/>
    </row>
    <row r="18">
      <c r="A18" t="n">
        <v>17</v>
      </c>
      <c r="B18" t="str">
        <f>Productos!C18</f>
        <v>Frankfurt viena</v>
      </c>
      <c r="C18" s="2">
        <f>IF(Productos!D18="","",Productos!D18)</f>
        <v>3.75</v>
      </c>
      <c r="D18" s="2">
        <f>IF(Productos!E18="","",Productos!E18)</f>
        <v>3.95</v>
      </c>
      <c r="E18" t="inlineStr"/>
    </row>
    <row r="19">
      <c r="A19" t="n">
        <v>18</v>
      </c>
      <c r="B19" t="str">
        <f>Productos!C19</f>
        <v>Frankfurt al plato con patatas fritas</v>
      </c>
      <c r="C19" s="2">
        <f>IF(Productos!D19="","",Productos!D19)</f>
        <v>5.95</v>
      </c>
      <c r="D19" s="2">
        <f>IF(Productos!E19="","",Productos!E19)</f>
        <v>6.15</v>
      </c>
      <c r="E19" t="inlineStr"/>
    </row>
    <row r="20">
      <c r="A20" t="n">
        <v>19</v>
      </c>
      <c r="B20" t="str">
        <f>Productos!C20</f>
        <v>Frankfurt doble viena</v>
      </c>
      <c r="C20" s="2">
        <f>IF(Productos!D20="","",Productos!D20)</f>
        <v>4.85</v>
      </c>
      <c r="D20" s="2">
        <f>IF(Productos!E20="","",Productos!E20)</f>
        <v>5.05</v>
      </c>
      <c r="E20" t="inlineStr"/>
    </row>
    <row r="21">
      <c r="A21" t="n">
        <v>20</v>
      </c>
      <c r="B21" t="str">
        <f>Productos!C21</f>
        <v>Frankfurt doble flauta</v>
      </c>
      <c r="C21" s="2">
        <f>IF(Productos!D21="","",Productos!D21)</f>
        <v>6.2</v>
      </c>
      <c r="D21" s="2">
        <f>IF(Productos!E21="","",Productos!E21)</f>
        <v>6.4</v>
      </c>
      <c r="E21" t="inlineStr"/>
    </row>
    <row r="22">
      <c r="A22" t="n">
        <v>21</v>
      </c>
      <c r="B22" t="str">
        <f>Productos!C22</f>
        <v>Viena frankfurt vegano</v>
      </c>
      <c r="C22" s="2">
        <f>IF(Productos!D22="","",Productos!D22)</f>
        <v>4.65</v>
      </c>
      <c r="D22" s="2">
        <f>IF(Productos!E22="","",Productos!E22)</f>
        <v>4.85</v>
      </c>
      <c r="E22" t="inlineStr"/>
    </row>
    <row r="23">
      <c r="A23" t="n">
        <v>22</v>
      </c>
      <c r="B23" t="str">
        <f>Productos!C23</f>
        <v>Flauta frankfurt vegano</v>
      </c>
      <c r="C23" s="2">
        <f>IF(Productos!D23="","",Productos!D23)</f>
        <v>5.65</v>
      </c>
      <c r="D23" s="2">
        <f>IF(Productos!E23="","",Productos!E23)</f>
        <v>5.85</v>
      </c>
      <c r="E23" t="inlineStr"/>
    </row>
    <row r="24">
      <c r="A24" t="n">
        <v>23</v>
      </c>
      <c r="B24" t="str">
        <f>Productos!C24</f>
        <v>Hamburguesa flauta</v>
      </c>
      <c r="C24" s="2">
        <f>IF(Productos!D24="","",Productos!D24)</f>
        <v>5.1</v>
      </c>
      <c r="D24" s="2">
        <f>IF(Productos!E24="","",Productos!E24)</f>
        <v>5.3</v>
      </c>
      <c r="E24" t="inlineStr"/>
    </row>
    <row r="25">
      <c r="A25" t="n">
        <v>24</v>
      </c>
      <c r="B25" t="str">
        <f>Productos!C25</f>
        <v>Hamburguesa viena</v>
      </c>
      <c r="C25" s="2">
        <f>IF(Productos!D25="","",Productos!D25)</f>
        <v>4.45</v>
      </c>
      <c r="D25" s="2">
        <f>IF(Productos!E25="","",Productos!E25)</f>
        <v>4.65</v>
      </c>
      <c r="E25" t="inlineStr"/>
    </row>
    <row r="26">
      <c r="A26" t="n">
        <v>25</v>
      </c>
      <c r="B26" t="str">
        <f>Productos!C26</f>
        <v>Hamburguesa picante flauta</v>
      </c>
      <c r="C26" s="2">
        <f>IF(Productos!D26="","",Productos!D26)</f>
        <v>5.65</v>
      </c>
      <c r="D26" s="2">
        <f>IF(Productos!E26="","",Productos!E26)</f>
        <v>5.85</v>
      </c>
      <c r="E26" t="inlineStr"/>
    </row>
    <row r="27">
      <c r="A27" t="n">
        <v>26</v>
      </c>
      <c r="B27" t="str">
        <f>Productos!C27</f>
        <v>Hamburguesa picante viena</v>
      </c>
      <c r="C27" s="2">
        <f>IF(Productos!D27="","",Productos!D27)</f>
        <v>4.65</v>
      </c>
      <c r="D27" s="2">
        <f>IF(Productos!E27="","",Productos!E27)</f>
        <v>4.85</v>
      </c>
      <c r="E27" t="inlineStr"/>
    </row>
    <row r="28">
      <c r="A28" t="n">
        <v>27</v>
      </c>
      <c r="B28" t="str">
        <f>Productos!C28</f>
        <v>Hamburguesa moruna flauta</v>
      </c>
      <c r="C28" s="2">
        <f>IF(Productos!D28="","",Productos!D28)</f>
        <v>5.65</v>
      </c>
      <c r="D28" s="2">
        <f>IF(Productos!E28="","",Productos!E28)</f>
        <v>5.85</v>
      </c>
      <c r="E28" t="inlineStr"/>
    </row>
    <row r="29">
      <c r="A29" t="n">
        <v>28</v>
      </c>
      <c r="B29" t="str">
        <f>Productos!C29</f>
        <v>Hamburguesa moruna viena</v>
      </c>
      <c r="C29" s="2">
        <f>IF(Productos!D29="","",Productos!D29)</f>
        <v>4.65</v>
      </c>
      <c r="D29" s="2">
        <f>IF(Productos!E29="","",Productos!E29)</f>
        <v>4.85</v>
      </c>
      <c r="E29" t="inlineStr"/>
    </row>
    <row r="30">
      <c r="A30" t="n">
        <v>29</v>
      </c>
      <c r="B30" t="str">
        <f>Productos!C30</f>
        <v>Flauta burger vegana</v>
      </c>
      <c r="C30" s="2">
        <f>IF(Productos!D30="","",Productos!D30)</f>
        <v>5.65</v>
      </c>
      <c r="D30" s="2">
        <f>IF(Productos!E30="","",Productos!E30)</f>
        <v>5.85</v>
      </c>
      <c r="E30" t="inlineStr"/>
    </row>
    <row r="31">
      <c r="A31" t="n">
        <v>30</v>
      </c>
      <c r="B31" t="str">
        <f>Productos!C31</f>
        <v>Viena burger vegana</v>
      </c>
      <c r="C31" s="2">
        <f>IF(Productos!D31="","",Productos!D31)</f>
        <v>4.65</v>
      </c>
      <c r="D31" s="2">
        <f>IF(Productos!E31="","",Productos!E31)</f>
        <v>4.85</v>
      </c>
      <c r="E31" t="inlineStr"/>
    </row>
    <row r="32">
      <c r="A32" t="n">
        <v>31</v>
      </c>
      <c r="B32" t="str">
        <f>Productos!C32</f>
        <v>Hamburguesa con patatas fritas</v>
      </c>
      <c r="C32" s="2">
        <f>IF(Productos!D32="","",Productos!D32)</f>
        <v>5.95</v>
      </c>
      <c r="D32" s="2">
        <f>IF(Productos!E32="","",Productos!E32)</f>
        <v>6.15</v>
      </c>
      <c r="E32" t="inlineStr"/>
    </row>
    <row r="33">
      <c r="A33" t="n">
        <v>32</v>
      </c>
      <c r="B33" t="str">
        <f>Productos!C33</f>
        <v>Llom viena</v>
      </c>
      <c r="C33" s="2">
        <f>IF(Productos!D33="","",Productos!D33)</f>
        <v>4.1</v>
      </c>
      <c r="D33" s="2">
        <f>IF(Productos!E33="","",Productos!E33)</f>
        <v>4.3</v>
      </c>
      <c r="E33" t="inlineStr"/>
    </row>
    <row r="34">
      <c r="A34" t="n">
        <v>33</v>
      </c>
      <c r="B34" t="str">
        <f>Productos!C34</f>
        <v>Llom flauta</v>
      </c>
      <c r="C34" s="2">
        <f>IF(Productos!D34="","",Productos!D34)</f>
        <v>5.35</v>
      </c>
      <c r="D34" s="2">
        <f>IF(Productos!E34="","",Productos!E34)</f>
        <v>5.55</v>
      </c>
      <c r="E34" t="inlineStr"/>
    </row>
    <row r="35">
      <c r="A35" t="n">
        <v>34</v>
      </c>
      <c r="B35" t="str">
        <f>Productos!C35</f>
        <v>Malaguenya viena</v>
      </c>
      <c r="C35" s="2">
        <f>IF(Productos!D35="","",Productos!D35)</f>
        <v>4.45</v>
      </c>
      <c r="D35" s="2">
        <f>IF(Productos!E35="","",Productos!E35)</f>
        <v>4.65</v>
      </c>
      <c r="E35" t="inlineStr"/>
    </row>
    <row r="36">
      <c r="A36" t="n">
        <v>35</v>
      </c>
      <c r="B36" t="str">
        <f>Productos!C36</f>
        <v>Malaguenya flauta</v>
      </c>
      <c r="C36" s="2">
        <f>IF(Productos!D36="","",Productos!D36)</f>
        <v>4.85</v>
      </c>
      <c r="D36" s="2">
        <f>IF(Productos!E36="","",Productos!E36)</f>
        <v>5.05</v>
      </c>
      <c r="E36" t="inlineStr"/>
    </row>
    <row r="37">
      <c r="A37" t="n">
        <v>36</v>
      </c>
      <c r="B37" t="str">
        <f>Productos!C37</f>
        <v>Pollastre viena</v>
      </c>
      <c r="C37" s="2">
        <f>IF(Productos!D37="","",Productos!D37)</f>
        <v>4.3</v>
      </c>
      <c r="D37" s="2">
        <f>IF(Productos!E37="","",Productos!E37)</f>
        <v>4.5</v>
      </c>
      <c r="E37" t="inlineStr"/>
    </row>
    <row r="38">
      <c r="A38" t="n">
        <v>37</v>
      </c>
      <c r="B38" t="str">
        <f>Productos!C38</f>
        <v>Pollastre flauta</v>
      </c>
      <c r="C38" s="2">
        <f>IF(Productos!D38="","",Productos!D38)</f>
        <v>5.35</v>
      </c>
      <c r="D38" s="2">
        <f>IF(Productos!E38="","",Productos!E38)</f>
        <v>5.55</v>
      </c>
      <c r="E38" t="inlineStr"/>
    </row>
    <row r="39">
      <c r="A39" t="n">
        <v>38</v>
      </c>
      <c r="B39" t="str">
        <f>Productos!C39</f>
        <v>Pechuga al plato con patatas fritas</v>
      </c>
      <c r="C39" s="2">
        <f>IF(Productos!D39="","",Productos!D39)</f>
        <v>5.95</v>
      </c>
      <c r="D39" s="2">
        <f>IF(Productos!E39="","",Productos!E39)</f>
        <v>6.15</v>
      </c>
      <c r="E39" t="inlineStr"/>
    </row>
    <row r="40">
      <c r="A40" t="n">
        <v>39</v>
      </c>
      <c r="B40" t="str">
        <f>Productos!C40</f>
        <v>Pinchos viena</v>
      </c>
      <c r="C40" s="2">
        <f>IF(Productos!D40="","",Productos!D40)</f>
        <v>5.45</v>
      </c>
      <c r="D40" s="2">
        <f>IF(Productos!E40="","",Productos!E40)</f>
        <v>5.65</v>
      </c>
      <c r="E40" t="inlineStr"/>
    </row>
    <row r="41">
      <c r="A41" t="n">
        <v>40</v>
      </c>
      <c r="B41" t="str">
        <f>Productos!C41</f>
        <v>Pinchos flauta</v>
      </c>
      <c r="C41" s="2">
        <f>IF(Productos!D41="","",Productos!D41)</f>
        <v>6.45</v>
      </c>
      <c r="D41" s="2">
        <f>IF(Productos!E41="","",Productos!E41)</f>
        <v>6.65</v>
      </c>
      <c r="E41" t="inlineStr"/>
    </row>
    <row r="42">
      <c r="A42" t="n">
        <v>41</v>
      </c>
      <c r="B42" t="str">
        <f>Productos!C42</f>
        <v>Pikantwurst viena</v>
      </c>
      <c r="C42" s="2">
        <f>IF(Productos!D42="","",Productos!D42)</f>
        <v>4.25</v>
      </c>
      <c r="D42" s="2">
        <f>IF(Productos!E42="","",Productos!E42)</f>
        <v>4.45</v>
      </c>
      <c r="E42" t="inlineStr"/>
    </row>
    <row r="43">
      <c r="A43" t="n">
        <v>42</v>
      </c>
      <c r="B43" t="str">
        <f>Productos!C43</f>
        <v>Pikantwurst flauta</v>
      </c>
      <c r="C43" s="2">
        <f>IF(Productos!D43="","",Productos!D43)</f>
        <v>5.45</v>
      </c>
      <c r="D43" s="2">
        <f>IF(Productos!E43="","",Productos!E43)</f>
        <v>5.65</v>
      </c>
      <c r="E43" t="inlineStr"/>
    </row>
    <row r="44">
      <c r="A44" t="n">
        <v>43</v>
      </c>
      <c r="B44" t="str">
        <f>Productos!C44</f>
        <v>Flauta sobrasada</v>
      </c>
      <c r="C44" s="2">
        <f>IF(Productos!D44="","",Productos!D44)</f>
        <v>4.95</v>
      </c>
      <c r="D44" s="2">
        <f>IF(Productos!E44="","",Productos!E44)</f>
        <v>5.15</v>
      </c>
      <c r="E44" t="inlineStr"/>
    </row>
    <row r="45">
      <c r="A45" t="n">
        <v>44</v>
      </c>
      <c r="B45" t="str">
        <f>Productos!C45</f>
        <v>Viena sobrasada</v>
      </c>
      <c r="C45" s="2">
        <f>IF(Productos!D45="","",Productos!D45)</f>
        <v>4.25</v>
      </c>
      <c r="D45" s="2">
        <f>IF(Productos!E45="","",Productos!E45)</f>
        <v>4.45</v>
      </c>
      <c r="E45" t="inlineStr"/>
    </row>
    <row r="46">
      <c r="A46" t="n">
        <v>45</v>
      </c>
      <c r="B46" t="str">
        <f>Productos!C46</f>
        <v>Salsitxa del país flauta</v>
      </c>
      <c r="C46" s="2">
        <f>IF(Productos!D46="","",Productos!D46)</f>
        <v>4.85</v>
      </c>
      <c r="D46" s="2">
        <f>IF(Productos!E46="","",Productos!E46)</f>
        <v>5.05</v>
      </c>
      <c r="E46" t="inlineStr"/>
    </row>
    <row r="47">
      <c r="A47" t="n">
        <v>46</v>
      </c>
      <c r="B47" t="str">
        <f>Productos!C47</f>
        <v>Salsitxa del país viena</v>
      </c>
      <c r="C47" s="2">
        <f>IF(Productos!D47="","",Productos!D47)</f>
        <v>3.95</v>
      </c>
      <c r="D47" s="2">
        <f>IF(Productos!E47="","",Productos!E47)</f>
        <v>4.15</v>
      </c>
      <c r="E47" t="inlineStr"/>
    </row>
    <row r="48">
      <c r="A48" t="n">
        <v>47</v>
      </c>
      <c r="B48" t="str">
        <f>Productos!C48</f>
        <v>Truita viena</v>
      </c>
      <c r="C48" s="2">
        <f>IF(Productos!D48="","",Productos!D48)</f>
        <v>4.15</v>
      </c>
      <c r="D48" s="2">
        <f>IF(Productos!E48="","",Productos!E48)</f>
        <v>4.35</v>
      </c>
      <c r="E48" t="inlineStr"/>
    </row>
    <row r="49">
      <c r="A49" t="n">
        <v>48</v>
      </c>
      <c r="B49" t="str">
        <f>Productos!C49</f>
        <v>Truita flauta</v>
      </c>
      <c r="C49" s="2">
        <f>IF(Productos!D49="","",Productos!D49)</f>
        <v>5.15</v>
      </c>
      <c r="D49" s="2">
        <f>IF(Productos!E49="","",Productos!E49)</f>
        <v>5.35</v>
      </c>
      <c r="E49" t="inlineStr"/>
    </row>
    <row r="50">
      <c r="A50" t="n">
        <v>49</v>
      </c>
      <c r="B50" t="str">
        <f>Productos!C50</f>
        <v>Vedella flauta</v>
      </c>
      <c r="C50" s="2">
        <f>IF(Productos!D50="","",Productos!D50)</f>
        <v>5.25</v>
      </c>
      <c r="D50" s="2">
        <f>IF(Productos!E50="","",Productos!E50)</f>
        <v>5.45</v>
      </c>
      <c r="E50" t="inlineStr"/>
    </row>
    <row r="51">
      <c r="A51" t="n">
        <v>50</v>
      </c>
      <c r="B51" t="str">
        <f>Productos!C51</f>
        <v>Vedella viena</v>
      </c>
      <c r="C51" s="2">
        <f>IF(Productos!D51="","",Productos!D51)</f>
        <v>4.25</v>
      </c>
      <c r="D51" s="2">
        <f>IF(Productos!E51="","",Productos!E51)</f>
        <v>4.45</v>
      </c>
      <c r="E51" t="inlineStr"/>
    </row>
    <row r="52">
      <c r="A52" t="n">
        <v>51</v>
      </c>
      <c r="B52" t="str">
        <f>Productos!C52</f>
        <v>Xistorra flauta</v>
      </c>
      <c r="C52" s="2">
        <f>IF(Productos!D52="","",Productos!D52)</f>
        <v>4.9</v>
      </c>
      <c r="D52" s="2">
        <f>IF(Productos!E52="","",Productos!E52)</f>
        <v>5.1</v>
      </c>
      <c r="E52" t="inlineStr"/>
    </row>
    <row r="53">
      <c r="A53" t="n">
        <v>52</v>
      </c>
      <c r="B53" t="str">
        <f>Productos!C53</f>
        <v>Xistorra viena</v>
      </c>
      <c r="C53" s="2">
        <f>IF(Productos!D53="","",Productos!D53)</f>
        <v>3.95</v>
      </c>
      <c r="D53" s="2">
        <f>IF(Productos!E53="","",Productos!E53)</f>
        <v>4.15</v>
      </c>
      <c r="E53" t="inlineStr"/>
    </row>
    <row r="54">
      <c r="A54" t="n">
        <v>53</v>
      </c>
      <c r="B54" t="str">
        <f>Productos!C54</f>
        <v>Flauta Javi</v>
      </c>
      <c r="C54" s="2">
        <f>IF(Productos!D54="","",Productos!D54)</f>
        <v>5.1</v>
      </c>
      <c r="D54" s="2">
        <f>IF(Productos!E54="","",Productos!E54)</f>
        <v>5.3</v>
      </c>
      <c r="E54" t="inlineStr"/>
    </row>
    <row r="55">
      <c r="A55" t="n">
        <v>54</v>
      </c>
      <c r="B55" t="str">
        <f>Productos!C55</f>
        <v>Huevo al plato</v>
      </c>
      <c r="C55" s="2">
        <f>IF(Productos!D55="","",Productos!D55)</f>
        <v>1.5</v>
      </c>
      <c r="D55" s="2">
        <f>IF(Productos!E55="","",Productos!E55)</f>
        <v>1.7</v>
      </c>
      <c r="E55" t="inlineStr"/>
    </row>
    <row r="56">
      <c r="A56" t="n">
        <v>55</v>
      </c>
      <c r="B56" t="str">
        <f>Productos!C56</f>
        <v>Tirolesa del Vallès viena</v>
      </c>
      <c r="C56" s="2">
        <f>IF(Productos!D56="","",Productos!D56)</f>
        <v>4.65</v>
      </c>
      <c r="D56" s="2">
        <f>IF(Productos!E56="","",Productos!E56)</f>
        <v>4.85</v>
      </c>
      <c r="E56" t="inlineStr"/>
    </row>
    <row r="57">
      <c r="A57" t="n">
        <v>56</v>
      </c>
      <c r="B57" t="str">
        <f>Productos!C57</f>
        <v>Tirolesa del Vallès flauta</v>
      </c>
      <c r="C57" s="2">
        <f>IF(Productos!D57="","",Productos!D57)</f>
        <v>5.1</v>
      </c>
      <c r="D57" s="2">
        <f>IF(Productos!E57="","",Productos!E57)</f>
        <v>5.3</v>
      </c>
      <c r="E57" t="inlineStr"/>
    </row>
    <row r="58">
      <c r="A58" t="n">
        <v>57</v>
      </c>
      <c r="B58" t="str">
        <f>Productos!C58</f>
        <v>Frankfurt al plato</v>
      </c>
      <c r="C58" s="2">
        <f>IF(Productos!D58="","",Productos!D58)</f>
        <v>3.05</v>
      </c>
      <c r="D58" s="2">
        <f>IF(Productos!E58="","",Productos!E58)</f>
        <v>3.25</v>
      </c>
      <c r="E58" t="inlineStr"/>
    </row>
    <row r="59">
      <c r="A59" t="n">
        <v>58</v>
      </c>
      <c r="B59" t="str">
        <f>Productos!C59</f>
        <v>Hamburguesa al plato</v>
      </c>
      <c r="C59" s="2">
        <f>IF(Productos!D59="","",Productos!D59)</f>
        <v>3.05</v>
      </c>
      <c r="D59" s="2">
        <f>IF(Productos!E59="","",Productos!E59)</f>
        <v>3.25</v>
      </c>
      <c r="E59" t="inlineStr"/>
    </row>
    <row r="60">
      <c r="A60" t="n">
        <v>59</v>
      </c>
      <c r="B60" t="str">
        <f>Productos!C60</f>
        <v>Apetitós viena</v>
      </c>
      <c r="C60" s="2">
        <f>IF(Productos!D60="","",Productos!D60)</f>
        <v>6.55</v>
      </c>
      <c r="D60" s="2">
        <f>IF(Productos!E60="","",Productos!E60)</f>
        <v>6.75</v>
      </c>
      <c r="E60" t="inlineStr"/>
    </row>
    <row r="61">
      <c r="A61" t="n">
        <v>60</v>
      </c>
      <c r="B61" t="str">
        <f>Productos!C61</f>
        <v>Apetitós flauta</v>
      </c>
      <c r="C61" s="2">
        <f>IF(Productos!D61="","",Productos!D61)</f>
        <v>7.25</v>
      </c>
      <c r="D61" s="2">
        <f>IF(Productos!E61="","",Productos!E61)</f>
        <v>7.45</v>
      </c>
      <c r="E61" t="inlineStr"/>
    </row>
    <row r="62">
      <c r="A62" t="n">
        <v>61</v>
      </c>
      <c r="B62" t="str">
        <f>Productos!C62</f>
        <v>Bomba viena</v>
      </c>
      <c r="C62" s="2">
        <f>IF(Productos!D62="","",Productos!D62)</f>
        <v>6.95</v>
      </c>
      <c r="D62" s="2">
        <f>IF(Productos!E62="","",Productos!E62)</f>
        <v>7.15</v>
      </c>
      <c r="E62" t="inlineStr"/>
    </row>
    <row r="63">
      <c r="A63" t="n">
        <v>62</v>
      </c>
      <c r="B63" t="str">
        <f>Productos!C63</f>
        <v>Bomba flauta</v>
      </c>
      <c r="C63" s="2">
        <f>IF(Productos!D63="","",Productos!D63)</f>
        <v>7.95</v>
      </c>
      <c r="D63" s="2">
        <f>IF(Productos!E63="","",Productos!E63)</f>
        <v>8.15</v>
      </c>
      <c r="E63" t="inlineStr"/>
    </row>
    <row r="64">
      <c r="A64" t="n">
        <v>63</v>
      </c>
      <c r="B64" t="str">
        <f>Productos!C64</f>
        <v>Capritx viena</v>
      </c>
      <c r="C64" s="2">
        <f>IF(Productos!D64="","",Productos!D64)</f>
        <v>5.65</v>
      </c>
      <c r="D64" s="2">
        <f>IF(Productos!E64="","",Productos!E64)</f>
        <v>5.85</v>
      </c>
      <c r="E64" t="inlineStr"/>
    </row>
    <row r="65">
      <c r="A65" t="n">
        <v>64</v>
      </c>
      <c r="B65" t="str">
        <f>Productos!C65</f>
        <v>Capritx flauta</v>
      </c>
      <c r="C65" s="2">
        <f>IF(Productos!D65="","",Productos!D65)</f>
        <v>6.85</v>
      </c>
      <c r="D65" s="2">
        <f>IF(Productos!E65="","",Productos!E65)</f>
        <v>7.05</v>
      </c>
      <c r="E65" t="inlineStr"/>
    </row>
    <row r="66">
      <c r="A66" t="n">
        <v>65</v>
      </c>
      <c r="B66" t="str">
        <f>Productos!C66</f>
        <v>Milanesa viena</v>
      </c>
      <c r="C66" s="2">
        <f>IF(Productos!D66="","",Productos!D66)</f>
        <v>5.85</v>
      </c>
      <c r="D66" s="2">
        <f>IF(Productos!E66="","",Productos!E66)</f>
        <v>6.05</v>
      </c>
      <c r="E66" t="inlineStr"/>
    </row>
    <row r="67">
      <c r="A67" t="n">
        <v>66</v>
      </c>
      <c r="B67" t="str">
        <f>Productos!C67</f>
        <v>Milanesa flauta</v>
      </c>
      <c r="C67" s="2">
        <f>IF(Productos!D67="","",Productos!D67)</f>
        <v>6.85</v>
      </c>
      <c r="D67" s="2">
        <f>IF(Productos!E67="","",Productos!E67)</f>
        <v>7.05</v>
      </c>
      <c r="E67" t="inlineStr"/>
    </row>
    <row r="68">
      <c r="A68" t="n">
        <v>67</v>
      </c>
      <c r="B68" t="str">
        <f>Productos!C68</f>
        <v>Tira de pollo viena</v>
      </c>
      <c r="C68" s="2">
        <f>IF(Productos!D68="","",Productos!D68)</f>
        <v>4.65</v>
      </c>
      <c r="D68" s="2">
        <f>IF(Productos!E68="","",Productos!E68)</f>
        <v>4.85</v>
      </c>
      <c r="E68" t="inlineStr"/>
    </row>
    <row r="69">
      <c r="A69" t="n">
        <v>68</v>
      </c>
      <c r="B69" t="str">
        <f>Productos!C69</f>
        <v>Tira de pollo flauta</v>
      </c>
      <c r="C69" s="2">
        <f>IF(Productos!D69="","",Productos!D69)</f>
        <v>5.45</v>
      </c>
      <c r="D69" s="2">
        <f>IF(Productos!E69="","",Productos!E69)</f>
        <v>5.65</v>
      </c>
      <c r="E69" t="inlineStr"/>
    </row>
    <row r="70">
      <c r="A70" t="n">
        <v>69</v>
      </c>
      <c r="B70" t="str">
        <f>Productos!C70</f>
        <v>Vegetal viena</v>
      </c>
      <c r="C70" s="2">
        <f>IF(Productos!D70="","",Productos!D70)</f>
        <v>6.8</v>
      </c>
      <c r="D70" s="2">
        <f>IF(Productos!E70="","",Productos!E70)</f>
        <v>7.0</v>
      </c>
      <c r="E70" t="inlineStr"/>
    </row>
    <row r="71">
      <c r="A71" t="n">
        <v>70</v>
      </c>
      <c r="B71" t="str">
        <f>Productos!C71</f>
        <v>Vegetal flauta</v>
      </c>
      <c r="C71" s="2">
        <f>IF(Productos!D71="","",Productos!D71)</f>
        <v>7.45</v>
      </c>
      <c r="D71" s="2">
        <f>IF(Productos!E71="","",Productos!E71)</f>
        <v>7.65</v>
      </c>
      <c r="E71" t="inlineStr"/>
    </row>
    <row r="72">
      <c r="A72" t="n">
        <v>71</v>
      </c>
      <c r="B72" t="str">
        <f>Productos!C72</f>
        <v>Porquet flauta</v>
      </c>
      <c r="C72" s="2">
        <f>IF(Productos!D72="","",Productos!D72)</f>
        <v>7.85</v>
      </c>
      <c r="D72" s="2">
        <f>IF(Productos!E72="","",Productos!E72)</f>
        <v>8.05</v>
      </c>
      <c r="E72" t="inlineStr"/>
    </row>
    <row r="73">
      <c r="A73" t="n">
        <v>72</v>
      </c>
      <c r="B73" t="str">
        <f>Productos!C73</f>
        <v>Porquet viena</v>
      </c>
      <c r="C73" s="2">
        <f>IF(Productos!D73="","",Productos!D73)</f>
        <v>6.85</v>
      </c>
      <c r="D73" s="2">
        <f>IF(Productos!E73="","",Productos!E73)</f>
        <v>7.05</v>
      </c>
      <c r="E73" t="inlineStr"/>
    </row>
    <row r="74">
      <c r="A74" t="n">
        <v>73</v>
      </c>
      <c r="B74" t="str">
        <f>Productos!C74</f>
        <v>Pimpollo flauta</v>
      </c>
      <c r="C74" s="2">
        <f>IF(Productos!D74="","",Productos!D74)</f>
        <v>7.45</v>
      </c>
      <c r="D74" s="2">
        <f>IF(Productos!E74="","",Productos!E74)</f>
        <v>7.65</v>
      </c>
      <c r="E74" t="inlineStr"/>
    </row>
    <row r="75">
      <c r="A75" t="n">
        <v>74</v>
      </c>
      <c r="B75" t="str">
        <f>Productos!C75</f>
        <v>Pimpollo viena</v>
      </c>
      <c r="C75" s="2">
        <f>IF(Productos!D75="","",Productos!D75)</f>
        <v>6.45</v>
      </c>
      <c r="D75" s="2">
        <f>IF(Productos!E75="","",Productos!E75)</f>
        <v>6.65</v>
      </c>
      <c r="E75" t="inlineStr"/>
    </row>
    <row r="76">
      <c r="A76" t="n">
        <v>75</v>
      </c>
      <c r="B76" t="str">
        <f>Productos!C76</f>
        <v>Viena viena</v>
      </c>
      <c r="C76" s="2">
        <f>IF(Productos!D76="","",Productos!D76)</f>
        <v>6.95</v>
      </c>
      <c r="D76" s="2">
        <f>IF(Productos!E76="","",Productos!E76)</f>
        <v>7.15</v>
      </c>
      <c r="E76" t="inlineStr"/>
    </row>
    <row r="77">
      <c r="A77" t="n">
        <v>76</v>
      </c>
      <c r="B77" t="str">
        <f>Productos!C77</f>
        <v>Viena flauta</v>
      </c>
      <c r="C77" s="2">
        <f>IF(Productos!D77="","",Productos!D77)</f>
        <v>7.95</v>
      </c>
      <c r="D77" s="2">
        <f>IF(Productos!E77="","",Productos!E77)</f>
        <v>8.15</v>
      </c>
      <c r="E77" t="inlineStr"/>
    </row>
    <row r="78">
      <c r="A78" t="n">
        <v>77</v>
      </c>
      <c r="B78" t="str">
        <f>Productos!C78</f>
        <v>Pepito flauta</v>
      </c>
      <c r="C78" s="2">
        <f>IF(Productos!D78="","",Productos!D78)</f>
        <v>7.55</v>
      </c>
      <c r="D78" s="2">
        <f>IF(Productos!E78="","",Productos!E78)</f>
        <v>7.75</v>
      </c>
      <c r="E78" t="inlineStr"/>
    </row>
    <row r="79">
      <c r="A79" t="n">
        <v>78</v>
      </c>
      <c r="B79" t="str">
        <f>Productos!C79</f>
        <v>Pepito viena</v>
      </c>
      <c r="C79" s="2">
        <f>IF(Productos!D79="","",Productos!D79)</f>
        <v>6.55</v>
      </c>
      <c r="D79" s="2">
        <f>IF(Productos!E79="","",Productos!E79)</f>
        <v>6.75</v>
      </c>
      <c r="E79" t="inlineStr"/>
    </row>
    <row r="80">
      <c r="A80" t="n">
        <v>79</v>
      </c>
      <c r="B80" t="str">
        <f>Productos!C80</f>
        <v>Submarí viena</v>
      </c>
      <c r="C80" s="2">
        <f>IF(Productos!D80="","",Productos!D80)</f>
        <v>6.65</v>
      </c>
      <c r="D80" s="2">
        <f>IF(Productos!E80="","",Productos!E80)</f>
        <v>6.85</v>
      </c>
      <c r="E80" t="inlineStr"/>
    </row>
    <row r="81">
      <c r="A81" t="n">
        <v>80</v>
      </c>
      <c r="B81" t="str">
        <f>Productos!C81</f>
        <v>Submarí flauta</v>
      </c>
      <c r="C81" s="2">
        <f>IF(Productos!D81="","",Productos!D81)</f>
        <v>7.75</v>
      </c>
      <c r="D81" s="2">
        <f>IF(Productos!E81="","",Productos!E81)</f>
        <v>7.95</v>
      </c>
      <c r="E81" t="inlineStr"/>
    </row>
    <row r="82">
      <c r="A82" t="n">
        <v>81</v>
      </c>
      <c r="B82" t="str">
        <f>Productos!C82</f>
        <v>Basc viena</v>
      </c>
      <c r="C82" s="2">
        <f>IF(Productos!D82="","",Productos!D82)</f>
        <v>4.9</v>
      </c>
      <c r="D82" s="2">
        <f>IF(Productos!E82="","",Productos!E82)</f>
        <v>5.1</v>
      </c>
      <c r="E82" t="inlineStr"/>
    </row>
    <row r="83">
      <c r="A83" t="n">
        <v>82</v>
      </c>
      <c r="B83" t="str">
        <f>Productos!C83</f>
        <v>Basc flauta</v>
      </c>
      <c r="C83" s="2">
        <f>IF(Productos!D83="","",Productos!D83)</f>
        <v>5.9</v>
      </c>
      <c r="D83" s="2">
        <f>IF(Productos!E83="","",Productos!E83)</f>
        <v>6.1</v>
      </c>
      <c r="E83" t="inlineStr"/>
    </row>
    <row r="84">
      <c r="A84" t="n">
        <v>83</v>
      </c>
      <c r="B84" t="str">
        <f>Productos!C84</f>
        <v>Mosqueter viena</v>
      </c>
      <c r="C84" s="2">
        <f>IF(Productos!D84="","",Productos!D84)</f>
        <v>4.9</v>
      </c>
      <c r="D84" s="2">
        <f>IF(Productos!E84="","",Productos!E84)</f>
        <v>5.1</v>
      </c>
      <c r="E84" t="inlineStr"/>
    </row>
    <row r="85">
      <c r="A85" t="n">
        <v>84</v>
      </c>
      <c r="B85" t="str">
        <f>Productos!C85</f>
        <v>Mosqueter flauta</v>
      </c>
      <c r="C85" s="2">
        <f>IF(Productos!D85="","",Productos!D85)</f>
        <v>5.9</v>
      </c>
      <c r="D85" s="2">
        <f>IF(Productos!E85="","",Productos!E85)</f>
        <v>6.1</v>
      </c>
      <c r="E85" t="inlineStr"/>
    </row>
    <row r="86">
      <c r="A86" t="n">
        <v>85</v>
      </c>
      <c r="B86" t="str">
        <f>Productos!C86</f>
        <v>Viena mosquetero vegano</v>
      </c>
      <c r="C86" s="2">
        <f>IF(Productos!D86="","",Productos!D86)</f>
        <v>4.65</v>
      </c>
      <c r="D86" s="2">
        <f>IF(Productos!E86="","",Productos!E86)</f>
        <v>4.85</v>
      </c>
      <c r="E86" t="inlineStr"/>
    </row>
    <row r="87">
      <c r="A87" t="n">
        <v>86</v>
      </c>
      <c r="B87" t="str">
        <f>Productos!C87</f>
        <v>Flauta mosquetero vegano</v>
      </c>
      <c r="C87" s="2">
        <f>IF(Productos!D87="","",Productos!D87)</f>
        <v>5.1</v>
      </c>
      <c r="D87" s="2">
        <f>IF(Productos!E87="","",Productos!E87)</f>
        <v>5.3</v>
      </c>
      <c r="E87" t="inlineStr"/>
    </row>
    <row r="88">
      <c r="A88" t="n">
        <v>87</v>
      </c>
      <c r="B88" t="str">
        <f>Productos!C88</f>
        <v>Flauta jardinera vegana</v>
      </c>
      <c r="C88" s="2">
        <f>IF(Productos!D88="","",Productos!D88)</f>
        <v>7.25</v>
      </c>
      <c r="D88" s="2">
        <f>IF(Productos!E88="","",Productos!E88)</f>
        <v>7.45</v>
      </c>
      <c r="E88" t="inlineStr"/>
    </row>
    <row r="89">
      <c r="A89" t="n">
        <v>88</v>
      </c>
      <c r="B89" t="str">
        <f>Productos!C89</f>
        <v>Traïdor flauta</v>
      </c>
      <c r="C89" s="2">
        <f>IF(Productos!D89="","",Productos!D89)</f>
        <v>7.9</v>
      </c>
      <c r="D89" s="2">
        <f>IF(Productos!E89="","",Productos!E89)</f>
        <v>8.1</v>
      </c>
      <c r="E89" t="inlineStr"/>
    </row>
    <row r="90">
      <c r="A90" t="n">
        <v>89</v>
      </c>
      <c r="B90" t="str">
        <f>Productos!C90</f>
        <v>Traïdor viena</v>
      </c>
      <c r="C90" s="2">
        <f>IF(Productos!D90="","",Productos!D90)</f>
        <v>6.9</v>
      </c>
      <c r="D90" s="2">
        <f>IF(Productos!E90="","",Productos!E90)</f>
        <v>7.1</v>
      </c>
      <c r="E90" t="inlineStr"/>
    </row>
    <row r="91">
      <c r="A91" t="n">
        <v>90</v>
      </c>
      <c r="B91" t="str">
        <f>Productos!C91</f>
        <v>Gumball flauta</v>
      </c>
      <c r="C91" s="2">
        <f>IF(Productos!D91="","",Productos!D91)</f>
        <v>6.75</v>
      </c>
      <c r="D91" s="2">
        <f>IF(Productos!E91="","",Productos!E91)</f>
        <v>6.95</v>
      </c>
      <c r="E91" t="inlineStr"/>
    </row>
    <row r="92">
      <c r="A92" t="n">
        <v>91</v>
      </c>
      <c r="B92" t="str">
        <f>Productos!C92</f>
        <v>Gumball viena</v>
      </c>
      <c r="C92" s="2">
        <f>IF(Productos!D92="","",Productos!D92)</f>
        <v>5.75</v>
      </c>
      <c r="D92" s="2">
        <f>IF(Productos!E92="","",Productos!E92)</f>
        <v>5.95</v>
      </c>
      <c r="E92" t="inlineStr"/>
    </row>
    <row r="93">
      <c r="A93" t="n">
        <v>92</v>
      </c>
      <c r="B93" t="str">
        <f>Productos!C93</f>
        <v>Extremeny flauta</v>
      </c>
      <c r="C93" s="2">
        <f>IF(Productos!D93="","",Productos!D93)</f>
        <v>6.95</v>
      </c>
      <c r="D93" s="2">
        <f>IF(Productos!E93="","",Productos!E93)</f>
        <v>7.15</v>
      </c>
      <c r="E93" t="inlineStr"/>
    </row>
    <row r="94">
      <c r="A94" t="n">
        <v>93</v>
      </c>
      <c r="B94" t="str">
        <f>Productos!C94</f>
        <v>Extremeny viena</v>
      </c>
      <c r="C94" s="2">
        <f>IF(Productos!D94="","",Productos!D94)</f>
        <v>5.95</v>
      </c>
      <c r="D94" s="2">
        <f>IF(Productos!E94="","",Productos!E94)</f>
        <v>6.15</v>
      </c>
      <c r="E94" t="inlineStr"/>
    </row>
    <row r="95">
      <c r="A95" t="n">
        <v>94</v>
      </c>
      <c r="B95" t="str">
        <f>Productos!C95</f>
        <v>Jardinera flauta</v>
      </c>
      <c r="C95" s="2">
        <f>IF(Productos!D95="","",Productos!D95)</f>
        <v>6.85</v>
      </c>
      <c r="D95" s="2">
        <f>IF(Productos!E95="","",Productos!E95)</f>
        <v>7.05</v>
      </c>
      <c r="E95" t="inlineStr"/>
    </row>
    <row r="96">
      <c r="A96" t="n">
        <v>95</v>
      </c>
      <c r="B96" t="str">
        <f>Productos!C96</f>
        <v>Jardinera viena</v>
      </c>
      <c r="C96" s="2">
        <f>IF(Productos!D96="","",Productos!D96)</f>
        <v>5.75</v>
      </c>
      <c r="D96" s="2">
        <f>IF(Productos!E96="","",Productos!E96)</f>
        <v>5.95</v>
      </c>
      <c r="E96" t="inlineStr"/>
    </row>
    <row r="97">
      <c r="A97" t="n">
        <v>96</v>
      </c>
      <c r="B97" t="str">
        <f>Productos!C97</f>
        <v>Viena jardinera vegana</v>
      </c>
      <c r="C97" s="2">
        <f>IF(Productos!D97="","",Productos!D97)</f>
        <v>6.25</v>
      </c>
      <c r="D97" s="2">
        <f>IF(Productos!E97="","",Productos!E97)</f>
        <v>6.45</v>
      </c>
      <c r="E97" t="inlineStr"/>
    </row>
    <row r="98">
      <c r="A98" t="n">
        <v>97</v>
      </c>
      <c r="B98" t="str">
        <f>Productos!C98</f>
        <v>Rústic flauta</v>
      </c>
      <c r="C98" s="2">
        <f>IF(Productos!D98="","",Productos!D98)</f>
        <v>6.95</v>
      </c>
      <c r="D98" s="2">
        <f>IF(Productos!E98="","",Productos!E98)</f>
        <v>7.15</v>
      </c>
      <c r="E98" t="inlineStr"/>
    </row>
    <row r="99">
      <c r="A99" t="n">
        <v>98</v>
      </c>
      <c r="B99" t="str">
        <f>Productos!C99</f>
        <v>Madrileny flauta</v>
      </c>
      <c r="C99" s="2">
        <f>IF(Productos!D99="","",Productos!D99)</f>
        <v>6.85</v>
      </c>
      <c r="D99" s="2">
        <f>IF(Productos!E99="","",Productos!E99)</f>
        <v>7.05</v>
      </c>
      <c r="E99" t="inlineStr"/>
    </row>
    <row r="100">
      <c r="A100" t="n">
        <v>99</v>
      </c>
      <c r="B100" t="str">
        <f>Productos!C100</f>
        <v>Madrileny viena</v>
      </c>
      <c r="C100" s="2">
        <f>IF(Productos!D100="","",Productos!D100)</f>
        <v>5.75</v>
      </c>
      <c r="D100" s="2">
        <f>IF(Productos!E100="","",Productos!E100)</f>
        <v>5.95</v>
      </c>
      <c r="E100" t="inlineStr"/>
    </row>
    <row r="101">
      <c r="A101" t="n">
        <v>101</v>
      </c>
      <c r="B101" t="str">
        <f>Productos!C101</f>
        <v>Muntanyes flauta</v>
      </c>
      <c r="C101" s="2">
        <f>IF(Productos!D101="","",Productos!D101)</f>
        <v>6.8</v>
      </c>
      <c r="D101" s="2">
        <f>IF(Productos!E101="","",Productos!E101)</f>
        <v>7.0</v>
      </c>
      <c r="E101" t="inlineStr"/>
    </row>
    <row r="102">
      <c r="A102" t="n">
        <v>102</v>
      </c>
      <c r="B102" t="str">
        <f>Productos!C102</f>
        <v>Muntanyes viena</v>
      </c>
      <c r="C102" s="2">
        <f>IF(Productos!D102="","",Productos!D102)</f>
        <v>5.8</v>
      </c>
      <c r="D102" s="2">
        <f>IF(Productos!E102="","",Productos!E102)</f>
        <v>6.0</v>
      </c>
      <c r="E102" t="inlineStr"/>
    </row>
    <row r="103">
      <c r="A103" t="n">
        <v>103</v>
      </c>
      <c r="B103" t="str">
        <f>Productos!C103</f>
        <v>Rústic viena</v>
      </c>
      <c r="C103" s="2">
        <f>IF(Productos!D103="","",Productos!D103)</f>
        <v>4.9</v>
      </c>
      <c r="D103" s="2">
        <f>IF(Productos!E103="","",Productos!E103)</f>
        <v>5.1</v>
      </c>
      <c r="E103" t="inlineStr"/>
    </row>
    <row r="104">
      <c r="A104" t="n">
        <v>104</v>
      </c>
      <c r="B104" t="str">
        <f>Productos!C104</f>
        <v>Felip flauta</v>
      </c>
      <c r="C104" s="2">
        <f>IF(Productos!D104="","",Productos!D104)</f>
        <v>5.1</v>
      </c>
      <c r="D104" s="2">
        <f>IF(Productos!E104="","",Productos!E104)</f>
        <v>5.3</v>
      </c>
      <c r="E104" t="inlineStr"/>
    </row>
    <row r="105">
      <c r="A105" t="n">
        <v>105</v>
      </c>
      <c r="B105" t="str">
        <f>Productos!C105</f>
        <v>Felip viena</v>
      </c>
      <c r="C105" s="2">
        <f>IF(Productos!D105="","",Productos!D105)</f>
        <v>4.9</v>
      </c>
      <c r="D105" s="2">
        <f>IF(Productos!E105="","",Productos!E105)</f>
        <v>5.1</v>
      </c>
      <c r="E105" t="inlineStr"/>
    </row>
    <row r="106">
      <c r="A106" t="n">
        <v>106</v>
      </c>
      <c r="B106" t="str">
        <f>Productos!C106</f>
        <v>El Xef.com flauta</v>
      </c>
      <c r="C106" s="2">
        <f>IF(Productos!D106="","",Productos!D106)</f>
        <v>6.1</v>
      </c>
      <c r="D106" s="2">
        <f>IF(Productos!E106="","",Productos!E106)</f>
        <v>6.3</v>
      </c>
      <c r="E106" t="inlineStr"/>
    </row>
    <row r="107">
      <c r="A107" t="n">
        <v>107</v>
      </c>
      <c r="B107" t="str">
        <f>Productos!C107</f>
        <v>El Xef.com viena</v>
      </c>
      <c r="C107" s="2">
        <f>IF(Productos!D107="","",Productos!D107)</f>
        <v>4.9</v>
      </c>
      <c r="D107" s="2">
        <f>IF(Productos!E107="","",Productos!E107)</f>
        <v>5.1</v>
      </c>
      <c r="E107" t="inlineStr"/>
    </row>
    <row r="108">
      <c r="A108" t="n">
        <v>108</v>
      </c>
      <c r="B108" t="str">
        <f>Productos!C108</f>
        <v>Relaxat flauta</v>
      </c>
      <c r="C108" s="2">
        <f>IF(Productos!D108="","",Productos!D108)</f>
        <v>5.9</v>
      </c>
      <c r="D108" s="2">
        <f>IF(Productos!E108="","",Productos!E108)</f>
        <v>6.1</v>
      </c>
      <c r="E108" t="inlineStr"/>
    </row>
    <row r="109">
      <c r="A109" t="n">
        <v>109</v>
      </c>
      <c r="B109" t="str">
        <f>Productos!C109</f>
        <v>Relaxat viena</v>
      </c>
      <c r="C109" s="2">
        <f>IF(Productos!D109="","",Productos!D109)</f>
        <v>4.9</v>
      </c>
      <c r="D109" s="2">
        <f>IF(Productos!E109="","",Productos!E109)</f>
        <v>5.1</v>
      </c>
      <c r="E109" t="inlineStr"/>
    </row>
    <row r="110">
      <c r="A110" t="n">
        <v>110</v>
      </c>
      <c r="B110" t="str">
        <f>Productos!C110</f>
        <v>Tropical flauta</v>
      </c>
      <c r="C110" s="2">
        <f>IF(Productos!D110="","",Productos!D110)</f>
        <v>5.6</v>
      </c>
      <c r="D110" s="2">
        <f>IF(Productos!E110="","",Productos!E110)</f>
        <v>5.8</v>
      </c>
      <c r="E110" t="inlineStr"/>
    </row>
    <row r="111">
      <c r="A111" t="n">
        <v>111</v>
      </c>
      <c r="B111" t="str">
        <f>Productos!C111</f>
        <v>Tropical viena</v>
      </c>
      <c r="C111" s="2">
        <f>IF(Productos!D111="","",Productos!D111)</f>
        <v>4.9</v>
      </c>
      <c r="D111" s="2">
        <f>IF(Productos!E111="","",Productos!E111)</f>
        <v>5.1</v>
      </c>
      <c r="E111" t="inlineStr"/>
    </row>
  </sheetData>
  <autoFilter ref="A1:E111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2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48" customWidth="1" min="2" max="2"/>
    <col width="13" customWidth="1" min="3" max="3"/>
    <col width="22" customWidth="1" min="4" max="4"/>
    <col width="62" customWidth="1" min="5" max="5"/>
  </cols>
  <sheetData>
    <row r="1">
      <c r="A1" s="1" t="inlineStr">
        <is>
          <t>Código</t>
        </is>
      </c>
      <c r="B1" s="1" t="inlineStr">
        <is>
          <t>Nombre</t>
        </is>
      </c>
      <c r="C1" s="1" t="inlineStr">
        <is>
          <t>Tarifa 1 (€)</t>
        </is>
      </c>
      <c r="D1" s="1" t="inlineStr">
        <is>
          <t>Tarifa 2 - Terraza (€)</t>
        </is>
      </c>
      <c r="E1" s="1" t="inlineStr">
        <is>
          <t>Nota</t>
        </is>
      </c>
    </row>
    <row r="2">
      <c r="A2" t="n">
        <v>112</v>
      </c>
      <c r="B2" t="str">
        <f>Productos!C112</f>
        <v>Copa Estrella</v>
      </c>
      <c r="C2" s="2">
        <f>IF(Productos!D112="","",Productos!D112)</f>
        <v>2.45</v>
      </c>
      <c r="D2" s="2">
        <f>IF(Productos!E112="","",Productos!E112)</f>
        <v>2.65</v>
      </c>
      <c r="E2" t="inlineStr"/>
    </row>
    <row r="3">
      <c r="A3" t="n">
        <v>113</v>
      </c>
      <c r="B3" t="str">
        <f>Productos!C113</f>
        <v>Jarra</v>
      </c>
      <c r="C3" s="2">
        <f>IF(Productos!D113="","",Productos!D113)</f>
        <v>4.8</v>
      </c>
      <c r="D3" s="2">
        <f>IF(Productos!E113="","",Productos!E113)</f>
        <v>5.0</v>
      </c>
      <c r="E3" t="inlineStr"/>
    </row>
    <row r="4">
      <c r="A4" t="n">
        <v>114</v>
      </c>
      <c r="B4" t="str">
        <f>Productos!C114</f>
        <v>Zurito Estrella</v>
      </c>
      <c r="C4" s="2">
        <f>IF(Productos!D114="","",Productos!D114)</f>
        <v>1.75</v>
      </c>
      <c r="D4" s="2">
        <f>IF(Productos!E114="","",Productos!E114)</f>
        <v>1.95</v>
      </c>
      <c r="E4" t="inlineStr"/>
    </row>
    <row r="5">
      <c r="A5" t="n">
        <v>115</v>
      </c>
      <c r="B5" t="str">
        <f>Productos!C115</f>
        <v>Copa clara</v>
      </c>
      <c r="C5" s="2">
        <f>IF(Productos!D115="","",Productos!D115)</f>
        <v>2.45</v>
      </c>
      <c r="D5" s="2">
        <f>IF(Productos!E115="","",Productos!E115)</f>
        <v>2.65</v>
      </c>
      <c r="E5" t="inlineStr"/>
    </row>
    <row r="6">
      <c r="A6" t="n">
        <v>116</v>
      </c>
      <c r="B6" t="str">
        <f>Productos!C116</f>
        <v>Jarra clara</v>
      </c>
      <c r="C6" s="2">
        <f>IF(Productos!D116="","",Productos!D116)</f>
        <v>5.05</v>
      </c>
      <c r="D6" s="2">
        <f>IF(Productos!E116="","",Productos!E116)</f>
        <v>5.25</v>
      </c>
      <c r="E6" t="inlineStr"/>
    </row>
    <row r="7">
      <c r="A7" t="n">
        <v>117</v>
      </c>
      <c r="B7" t="str">
        <f>Productos!C117</f>
        <v>Zurito clara</v>
      </c>
      <c r="C7" s="2">
        <f>IF(Productos!D117="","",Productos!D117)</f>
        <v>1.8</v>
      </c>
      <c r="D7" s="2">
        <f>IF(Productos!E117="","",Productos!E117)</f>
        <v>2.0</v>
      </c>
      <c r="E7" t="inlineStr"/>
    </row>
    <row r="8">
      <c r="A8" t="n">
        <v>118</v>
      </c>
      <c r="B8" t="str">
        <f>Productos!C118</f>
        <v>Jarra Voll-Damm</v>
      </c>
      <c r="C8" s="2">
        <f>IF(Productos!D118="","",Productos!D118)</f>
        <v>5.15</v>
      </c>
      <c r="D8" s="2">
        <f>IF(Productos!E118="","",Productos!E118)</f>
        <v>5.35</v>
      </c>
      <c r="E8" t="inlineStr"/>
    </row>
    <row r="9">
      <c r="A9" t="n">
        <v>119</v>
      </c>
      <c r="B9" t="str">
        <f>Productos!C119</f>
        <v>Voll-Damm</v>
      </c>
      <c r="C9" s="2">
        <f>IF(Productos!D119="","",Productos!D119)</f>
        <v>2.75</v>
      </c>
      <c r="D9" s="2">
        <f>IF(Productos!E119="","",Productos!E119)</f>
        <v>2.95</v>
      </c>
      <c r="E9" t="inlineStr"/>
    </row>
    <row r="10">
      <c r="A10" t="n">
        <v>120</v>
      </c>
      <c r="B10" t="str">
        <f>Productos!C120</f>
        <v>Zurito Voll-Damm</v>
      </c>
      <c r="C10" s="2">
        <f>IF(Productos!D120="","",Productos!D120)</f>
        <v>1.8</v>
      </c>
      <c r="D10" s="2">
        <f>IF(Productos!E120="","",Productos!E120)</f>
        <v>2.0</v>
      </c>
      <c r="E10" t="inlineStr"/>
    </row>
    <row r="11">
      <c r="A11" t="n">
        <v>121</v>
      </c>
      <c r="B11" t="str">
        <f>Productos!C121</f>
        <v>Zurito Turia</v>
      </c>
      <c r="C11" s="2">
        <f>IF(Productos!D121="","",Productos!D121)</f>
        <v>1.75</v>
      </c>
      <c r="D11" s="2">
        <f>IF(Productos!E121="","",Productos!E121)</f>
        <v>1.95</v>
      </c>
      <c r="E11" t="inlineStr"/>
    </row>
    <row r="12">
      <c r="A12" t="n">
        <v>122</v>
      </c>
      <c r="B12" t="str">
        <f>Productos!C122</f>
        <v>Copa Turia</v>
      </c>
      <c r="C12" s="2">
        <f>IF(Productos!D122="","",Productos!D122)</f>
        <v>2.7</v>
      </c>
      <c r="D12" s="2">
        <f>IF(Productos!E122="","",Productos!E122)</f>
        <v>2.9</v>
      </c>
      <c r="E12" t="inlineStr"/>
    </row>
    <row r="13">
      <c r="A13" t="n">
        <v>123</v>
      </c>
      <c r="B13" t="str">
        <f>Productos!C123</f>
        <v>Jarra Turia</v>
      </c>
      <c r="C13" s="2">
        <f>IF(Productos!D123="","",Productos!D123)</f>
        <v>5</v>
      </c>
      <c r="D13" s="2">
        <f>IF(Productos!E123="","",Productos!E123)</f>
        <v>5.2</v>
      </c>
      <c r="E13" t="inlineStr"/>
    </row>
    <row r="14">
      <c r="A14" t="n">
        <v>124</v>
      </c>
      <c r="B14" t="str">
        <f>Productos!C124</f>
        <v>Free Damm azul</v>
      </c>
      <c r="C14" s="2">
        <f>IF(Productos!D124="","",Productos!D124)</f>
        <v>2.55</v>
      </c>
      <c r="D14" s="2">
        <f>IF(Productos!E124="","",Productos!E124)</f>
        <v>2.75</v>
      </c>
      <c r="E14" t="inlineStr"/>
    </row>
    <row r="15">
      <c r="A15" s="3" t="n">
        <v>125</v>
      </c>
      <c r="B15" s="3" t="str">
        <f>Productos!C125</f>
        <v>Lúpulo tostada</v>
      </c>
      <c r="C15" s="4">
        <f>IF(Productos!D125="","",Productos!D125)</f>
        <v>2.55</v>
      </c>
      <c r="D15" s="4">
        <f>IF(Productos!E125="","",Productos!E125)</f>
        <v>2.75</v>
      </c>
      <c r="E15" s="3" t="inlineStr">
        <is>
          <t>Revisar: en la tarifa pone 'Lupulo tostada'</t>
        </is>
      </c>
    </row>
    <row r="16">
      <c r="A16" t="n">
        <v>126</v>
      </c>
      <c r="B16" t="str">
        <f>Productos!C126</f>
        <v>Free Damm amarilla</v>
      </c>
      <c r="C16" s="2">
        <f>IF(Productos!D126="","",Productos!D126)</f>
        <v>2.55</v>
      </c>
      <c r="D16" s="2">
        <f>IF(Productos!E126="","",Productos!E126)</f>
        <v>2.75</v>
      </c>
      <c r="E16" t="inlineStr"/>
    </row>
    <row r="17">
      <c r="A17" s="3" t="n">
        <v>127</v>
      </c>
      <c r="B17" s="3" t="str">
        <f>Productos!C127</f>
        <v>Tinto de verano</v>
      </c>
      <c r="C17" s="4">
        <f>IF(Productos!D127="","",Productos!D127)</f>
        <v>5.75</v>
      </c>
      <c r="D17" s="4">
        <f>IF(Productos!E127="","",Productos!E127)</f>
        <v>5.95</v>
      </c>
      <c r="E17" s="3" t="inlineStr">
        <is>
          <t>Revisar: aparece más de una vez con precios distintos</t>
        </is>
      </c>
    </row>
    <row r="18">
      <c r="A18" t="n">
        <v>128</v>
      </c>
      <c r="B18" t="str">
        <f>Productos!C128</f>
        <v>Coronita</v>
      </c>
      <c r="C18" s="2">
        <f>IF(Productos!D128="","",Productos!D128)</f>
        <v>2.7</v>
      </c>
      <c r="D18" s="2">
        <f>IF(Productos!E128="","",Productos!E128)</f>
        <v>2.9</v>
      </c>
      <c r="E18" t="inlineStr"/>
    </row>
    <row r="19">
      <c r="A19" t="n">
        <v>129</v>
      </c>
      <c r="B19" t="str">
        <f>Productos!C129</f>
        <v>Daura</v>
      </c>
      <c r="C19" s="2">
        <f>IF(Productos!D129="","",Productos!D129)</f>
        <v>2.7</v>
      </c>
      <c r="D19" s="2">
        <f>IF(Productos!E129="","",Productos!E129)</f>
        <v>2.9</v>
      </c>
      <c r="E19" t="inlineStr"/>
    </row>
    <row r="20">
      <c r="A20" t="n">
        <v>130</v>
      </c>
      <c r="B20" t="str">
        <f>Productos!C130</f>
        <v>Desperados</v>
      </c>
      <c r="C20" s="2">
        <f>IF(Productos!D130="","",Productos!D130)</f>
        <v>2.7</v>
      </c>
      <c r="D20" s="2">
        <f>IF(Productos!E130="","",Productos!E130)</f>
        <v>2.9</v>
      </c>
      <c r="E20" t="inlineStr"/>
    </row>
    <row r="21">
      <c r="A21" t="n">
        <v>131</v>
      </c>
      <c r="B21" t="str">
        <f>Productos!C131</f>
        <v>Mediana Estrella</v>
      </c>
      <c r="C21" s="2">
        <f>IF(Productos!D131="","",Productos!D131)</f>
        <v>1.95</v>
      </c>
      <c r="D21" s="2">
        <f>IF(Productos!E131="","",Productos!E131)</f>
        <v>2.15</v>
      </c>
      <c r="E21" t="inlineStr"/>
    </row>
    <row r="22">
      <c r="A22" t="n">
        <v>132</v>
      </c>
      <c r="B22" t="str">
        <f>Productos!C132</f>
        <v>Jarra para llevar</v>
      </c>
      <c r="C22" s="2">
        <f>IF(Productos!D132="","",Productos!D132)</f>
        <v>2.95</v>
      </c>
      <c r="D22" s="2">
        <f>IF(Productos!E132="","",Productos!E132)</f>
        <v>3.15</v>
      </c>
      <c r="E22" t="inlineStr"/>
    </row>
    <row r="23">
      <c r="A23" t="n">
        <v>133</v>
      </c>
      <c r="B23" t="str">
        <f>Productos!C133</f>
        <v>Quinto Free Damm tostada</v>
      </c>
      <c r="C23" s="2">
        <f>IF(Productos!D133="","",Productos!D133)</f>
        <v>1.95</v>
      </c>
      <c r="D23" s="2">
        <f>IF(Productos!E133="","",Productos!E133)</f>
        <v>2.15</v>
      </c>
      <c r="E23" t="inlineStr"/>
    </row>
    <row r="24">
      <c r="A24" t="n">
        <v>134</v>
      </c>
      <c r="B24" t="str">
        <f>Productos!C134</f>
        <v>Copa para llevar</v>
      </c>
      <c r="C24" s="2">
        <f>IF(Productos!D134="","",Productos!D134)</f>
        <v>1.5</v>
      </c>
      <c r="D24" s="2">
        <f>IF(Productos!E134="","",Productos!E134)</f>
        <v>1.7</v>
      </c>
      <c r="E24" t="inlineStr"/>
    </row>
    <row r="25">
      <c r="A25" t="n">
        <v>135</v>
      </c>
      <c r="B25" t="str">
        <f>Productos!C135</f>
        <v>Sangría de cava</v>
      </c>
      <c r="C25" s="2">
        <f>IF(Productos!D135="","",Productos!D135)</f>
        <v>12.5</v>
      </c>
      <c r="D25" s="2">
        <f>IF(Productos!E135="","",Productos!E135)</f>
        <v>12.7</v>
      </c>
      <c r="E25" t="inlineStr"/>
    </row>
    <row r="26">
      <c r="A26" t="n">
        <v>136</v>
      </c>
      <c r="B26" t="str">
        <f>Productos!C136</f>
        <v>Sangría de vino</v>
      </c>
      <c r="C26" s="2">
        <f>IF(Productos!D136="","",Productos!D136)</f>
        <v>9</v>
      </c>
      <c r="D26" s="2">
        <f>IF(Productos!E136="","",Productos!E136)</f>
        <v>9.2</v>
      </c>
      <c r="E26" t="inlineStr"/>
    </row>
  </sheetData>
  <autoFilter ref="A1:E26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4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48" customWidth="1" min="2" max="2"/>
    <col width="13" customWidth="1" min="3" max="3"/>
    <col width="22" customWidth="1" min="4" max="4"/>
    <col width="62" customWidth="1" min="5" max="5"/>
  </cols>
  <sheetData>
    <row r="1">
      <c r="A1" s="1" t="inlineStr">
        <is>
          <t>Código</t>
        </is>
      </c>
      <c r="B1" s="1" t="inlineStr">
        <is>
          <t>Nombre</t>
        </is>
      </c>
      <c r="C1" s="1" t="inlineStr">
        <is>
          <t>Tarifa 1 (€)</t>
        </is>
      </c>
      <c r="D1" s="1" t="inlineStr">
        <is>
          <t>Tarifa 2 - Terraza (€)</t>
        </is>
      </c>
      <c r="E1" s="1" t="inlineStr">
        <is>
          <t>Nota</t>
        </is>
      </c>
    </row>
    <row r="2">
      <c r="A2" t="n">
        <v>137</v>
      </c>
      <c r="B2" t="str">
        <f>Productos!C137</f>
        <v>Café solo</v>
      </c>
      <c r="C2" s="2">
        <f>IF(Productos!D137="","",Productos!D137)</f>
        <v>1.4</v>
      </c>
      <c r="D2" s="2">
        <f>IF(Productos!E137="","",Productos!E137)</f>
        <v>1.6</v>
      </c>
      <c r="E2" t="inlineStr"/>
    </row>
    <row r="3">
      <c r="A3" t="n">
        <v>138</v>
      </c>
      <c r="B3" t="str">
        <f>Productos!C138</f>
        <v>Café descafeinado</v>
      </c>
      <c r="C3" s="2">
        <f>IF(Productos!D138="","",Productos!D138)</f>
        <v>1.4</v>
      </c>
      <c r="D3" s="2">
        <f>IF(Productos!E138="","",Productos!E138)</f>
        <v>1.6</v>
      </c>
      <c r="E3" t="inlineStr"/>
    </row>
    <row r="4">
      <c r="A4" t="n">
        <v>139</v>
      </c>
      <c r="B4" t="str">
        <f>Productos!C139</f>
        <v>Café con hielo</v>
      </c>
      <c r="C4" s="2">
        <f>IF(Productos!D139="","",Productos!D139)</f>
        <v>1.6</v>
      </c>
      <c r="D4" s="2">
        <f>IF(Productos!E139="","",Productos!E139)</f>
        <v>1.8</v>
      </c>
      <c r="E4" t="inlineStr"/>
    </row>
    <row r="5">
      <c r="A5" t="n">
        <v>140</v>
      </c>
      <c r="B5" t="str">
        <f>Productos!C140</f>
        <v>Cortado</v>
      </c>
      <c r="C5" s="2">
        <f>IF(Productos!D140="","",Productos!D140)</f>
        <v>1.45</v>
      </c>
      <c r="D5" s="2">
        <f>IF(Productos!E140="","",Productos!E140)</f>
        <v>1.65</v>
      </c>
      <c r="E5" t="inlineStr"/>
    </row>
    <row r="6">
      <c r="A6" t="n">
        <v>141</v>
      </c>
      <c r="B6" t="str">
        <f>Productos!C141</f>
        <v>Cortado descafeinado</v>
      </c>
      <c r="C6" s="2">
        <f>IF(Productos!D141="","",Productos!D141)</f>
        <v>1.45</v>
      </c>
      <c r="D6" s="2">
        <f>IF(Productos!E141="","",Productos!E141)</f>
        <v>1.65</v>
      </c>
      <c r="E6" t="inlineStr"/>
    </row>
    <row r="7">
      <c r="A7" t="n">
        <v>142</v>
      </c>
      <c r="B7" t="str">
        <f>Productos!C142</f>
        <v>Cortado descafeinado de sobre</v>
      </c>
      <c r="C7" s="2">
        <f>IF(Productos!D142="","",Productos!D142)</f>
        <v>1.45</v>
      </c>
      <c r="D7" s="2">
        <f>IF(Productos!E142="","",Productos!E142)</f>
        <v>1.65</v>
      </c>
      <c r="E7" t="inlineStr"/>
    </row>
    <row r="8">
      <c r="A8" t="n">
        <v>143</v>
      </c>
      <c r="B8" t="str">
        <f>Productos!C143</f>
        <v>Café con leche</v>
      </c>
      <c r="C8" s="2">
        <f>IF(Productos!D143="","",Productos!D143)</f>
        <v>1.75</v>
      </c>
      <c r="D8" s="2">
        <f>IF(Productos!E143="","",Productos!E143)</f>
        <v>1.95</v>
      </c>
      <c r="E8" t="inlineStr"/>
    </row>
    <row r="9">
      <c r="A9" t="n">
        <v>144</v>
      </c>
      <c r="B9" t="str">
        <f>Productos!C144</f>
        <v>Café con leche descafeinado</v>
      </c>
      <c r="C9" s="2">
        <f>IF(Productos!D144="","",Productos!D144)</f>
        <v>1.75</v>
      </c>
      <c r="D9" s="2">
        <f>IF(Productos!E144="","",Productos!E144)</f>
        <v>1.95</v>
      </c>
      <c r="E9" t="inlineStr"/>
    </row>
    <row r="10">
      <c r="A10" t="n">
        <v>145</v>
      </c>
      <c r="B10" t="str">
        <f>Productos!C145</f>
        <v>Café con leche de sobre</v>
      </c>
      <c r="C10" s="2">
        <f>IF(Productos!D145="","",Productos!D145)</f>
        <v>1.75</v>
      </c>
      <c r="D10" s="2">
        <f>IF(Productos!E145="","",Productos!E145)</f>
        <v>1.95</v>
      </c>
      <c r="E10" t="inlineStr"/>
    </row>
    <row r="11">
      <c r="A11" t="n">
        <v>146</v>
      </c>
      <c r="B11" t="str">
        <f>Productos!C146</f>
        <v>Carajillo de whisky</v>
      </c>
      <c r="C11" s="2">
        <f>IF(Productos!D146="","",Productos!D146)</f>
        <v>3</v>
      </c>
      <c r="D11" s="2">
        <f>IF(Productos!E146="","",Productos!E146)</f>
        <v>3.2</v>
      </c>
      <c r="E11" t="inlineStr"/>
    </row>
    <row r="12">
      <c r="A12" t="n">
        <v>147</v>
      </c>
      <c r="B12" t="str">
        <f>Productos!C147</f>
        <v>Trifásico de whisky</v>
      </c>
      <c r="C12" s="2">
        <f>IF(Productos!D147="","",Productos!D147)</f>
        <v>3</v>
      </c>
      <c r="D12" s="2">
        <f>IF(Productos!E147="","",Productos!E147)</f>
        <v>3.2</v>
      </c>
      <c r="E12" t="inlineStr"/>
    </row>
    <row r="13">
      <c r="A13" t="n">
        <v>148</v>
      </c>
      <c r="B13" t="str">
        <f>Productos!C148</f>
        <v>Carajillo de Anís del Mono</v>
      </c>
      <c r="C13" s="2">
        <f>IF(Productos!D148="","",Productos!D148)</f>
        <v>3</v>
      </c>
      <c r="D13" s="2">
        <f>IF(Productos!E148="","",Productos!E148)</f>
        <v>3.2</v>
      </c>
      <c r="E13" t="inlineStr"/>
    </row>
    <row r="14">
      <c r="A14" t="n">
        <v>149</v>
      </c>
      <c r="B14" t="str">
        <f>Productos!C149</f>
        <v>Carajillo de Marie Brizard</v>
      </c>
      <c r="C14" s="2">
        <f>IF(Productos!D149="","",Productos!D149)</f>
        <v>3</v>
      </c>
      <c r="D14" s="2">
        <f>IF(Productos!E149="","",Productos!E149)</f>
        <v>3.2</v>
      </c>
      <c r="E14" t="inlineStr"/>
    </row>
    <row r="15">
      <c r="A15" t="n">
        <v>150</v>
      </c>
      <c r="B15" t="str">
        <f>Productos!C150</f>
        <v>Bombón</v>
      </c>
      <c r="C15" s="2">
        <f>IF(Productos!D150="","",Productos!D150)</f>
        <v>2.95</v>
      </c>
      <c r="D15" s="2">
        <f>IF(Productos!E150="","",Productos!E150)</f>
        <v>3.15</v>
      </c>
      <c r="E15" t="inlineStr"/>
    </row>
    <row r="16">
      <c r="A16" t="n">
        <v>151</v>
      </c>
      <c r="B16" t="str">
        <f>Productos!C151</f>
        <v>Carajillo de Baileys</v>
      </c>
      <c r="C16" s="2">
        <f>IF(Productos!D151="","",Productos!D151)</f>
        <v>3.1</v>
      </c>
      <c r="D16" s="2">
        <f>IF(Productos!E151="","",Productos!E151)</f>
        <v>3.3</v>
      </c>
      <c r="E16" t="inlineStr"/>
    </row>
    <row r="17">
      <c r="A17" t="n">
        <v>152</v>
      </c>
      <c r="B17" t="str">
        <f>Productos!C152</f>
        <v>Trifásico de Baileys</v>
      </c>
      <c r="C17" s="2">
        <f>IF(Productos!D152="","",Productos!D152)</f>
        <v>3.1</v>
      </c>
      <c r="D17" s="2">
        <f>IF(Productos!E152="","",Productos!E152)</f>
        <v>3.3</v>
      </c>
      <c r="E17" t="inlineStr"/>
    </row>
    <row r="18">
      <c r="A18" t="n">
        <v>153</v>
      </c>
      <c r="B18" t="str">
        <f>Productos!C153</f>
        <v>Carajillo de Magno</v>
      </c>
      <c r="C18" s="2">
        <f>IF(Productos!D153="","",Productos!D153)</f>
        <v>3</v>
      </c>
      <c r="D18" s="2">
        <f>IF(Productos!E153="","",Productos!E153)</f>
        <v>3.2</v>
      </c>
      <c r="E18" t="inlineStr"/>
    </row>
    <row r="19">
      <c r="A19" t="n">
        <v>154</v>
      </c>
      <c r="B19" t="str">
        <f>Productos!C154</f>
        <v>Carajillo de ron</v>
      </c>
      <c r="C19" s="2">
        <f>IF(Productos!D154="","",Productos!D154)</f>
        <v>3</v>
      </c>
      <c r="D19" s="2">
        <f>IF(Productos!E154="","",Productos!E154)</f>
        <v>3.2</v>
      </c>
      <c r="E19" t="inlineStr"/>
    </row>
    <row r="20">
      <c r="A20" t="n">
        <v>155</v>
      </c>
      <c r="B20" t="str">
        <f>Productos!C155</f>
        <v>Poleo menta</v>
      </c>
      <c r="C20" s="2">
        <f>IF(Productos!D155="","",Productos!D155)</f>
        <v>2.25</v>
      </c>
      <c r="D20" s="2">
        <f>IF(Productos!E155="","",Productos!E155)</f>
        <v>2.45</v>
      </c>
      <c r="E20" t="inlineStr"/>
    </row>
    <row r="21">
      <c r="A21" t="n">
        <v>156</v>
      </c>
      <c r="B21" t="str">
        <f>Productos!C156</f>
        <v>Té verde</v>
      </c>
      <c r="C21" s="2">
        <f>IF(Productos!D156="","",Productos!D156)</f>
        <v>2.25</v>
      </c>
      <c r="D21" s="2">
        <f>IF(Productos!E156="","",Productos!E156)</f>
        <v>2.45</v>
      </c>
      <c r="E21" t="inlineStr"/>
    </row>
    <row r="22">
      <c r="A22" t="n">
        <v>157</v>
      </c>
      <c r="B22" t="str">
        <f>Productos!C157</f>
        <v>Té rojo</v>
      </c>
      <c r="C22" s="2">
        <f>IF(Productos!D157="","",Productos!D157)</f>
        <v>2.25</v>
      </c>
      <c r="D22" s="2">
        <f>IF(Productos!E157="","",Productos!E157)</f>
        <v>2.45</v>
      </c>
      <c r="E22" t="inlineStr"/>
    </row>
    <row r="23">
      <c r="A23" t="n">
        <v>158</v>
      </c>
      <c r="B23" t="str">
        <f>Productos!C158</f>
        <v>Té frutas del bosque</v>
      </c>
      <c r="C23" s="2">
        <f>IF(Productos!D158="","",Productos!D158)</f>
        <v>2.25</v>
      </c>
      <c r="D23" s="2">
        <f>IF(Productos!E158="","",Productos!E158)</f>
        <v>2.45</v>
      </c>
      <c r="E23" t="inlineStr"/>
    </row>
    <row r="24">
      <c r="A24" t="n">
        <v>159</v>
      </c>
      <c r="B24" t="str">
        <f>Productos!C159</f>
        <v>Té negro</v>
      </c>
      <c r="C24" s="2">
        <f>IF(Productos!D159="","",Productos!D159)</f>
        <v>2.25</v>
      </c>
      <c r="D24" s="2">
        <f>IF(Productos!E159="","",Productos!E159)</f>
        <v>2.45</v>
      </c>
      <c r="E24" t="inlineStr"/>
    </row>
    <row r="25">
      <c r="A25" t="n">
        <v>160</v>
      </c>
      <c r="B25" t="str">
        <f>Productos!C160</f>
        <v>Rooibos albahaca</v>
      </c>
      <c r="C25" s="2">
        <f>IF(Productos!D160="","",Productos!D160)</f>
        <v>2.25</v>
      </c>
      <c r="D25" s="2">
        <f>IF(Productos!E160="","",Productos!E160)</f>
        <v>2.45</v>
      </c>
      <c r="E25" t="inlineStr"/>
    </row>
    <row r="26">
      <c r="A26" t="n">
        <v>161</v>
      </c>
      <c r="B26" t="str">
        <f>Productos!C161</f>
        <v>Manzanilla</v>
      </c>
      <c r="C26" s="2">
        <f>IF(Productos!D161="","",Productos!D161)</f>
        <v>2.25</v>
      </c>
      <c r="D26" s="2">
        <f>IF(Productos!E161="","",Productos!E161)</f>
        <v>2.45</v>
      </c>
      <c r="E26" t="inlineStr"/>
    </row>
    <row r="27">
      <c r="A27" t="n">
        <v>162</v>
      </c>
      <c r="B27" t="str">
        <f>Productos!C162</f>
        <v>Café americano</v>
      </c>
      <c r="C27" s="2">
        <f>IF(Productos!D162="","",Productos!D162)</f>
        <v>1.75</v>
      </c>
      <c r="D27" s="2">
        <f>IF(Productos!E162="","",Productos!E162)</f>
        <v>1.95</v>
      </c>
      <c r="E27" t="inlineStr"/>
    </row>
    <row r="28">
      <c r="A28" t="n">
        <v>163</v>
      </c>
      <c r="B28" t="str">
        <f>Productos!C163</f>
        <v>Café americano descafeinado</v>
      </c>
      <c r="C28" s="2">
        <f>IF(Productos!D163="","",Productos!D163)</f>
        <v>1.7</v>
      </c>
      <c r="D28" s="2">
        <f>IF(Productos!E163="","",Productos!E163)</f>
        <v>1.9</v>
      </c>
      <c r="E28" t="inlineStr"/>
    </row>
    <row r="29">
      <c r="A29" t="n">
        <v>164</v>
      </c>
      <c r="B29" t="str">
        <f>Productos!C164</f>
        <v>Leche desnatada</v>
      </c>
      <c r="C29" s="2" t="str">
        <f>IF(Productos!D164="","",Productos!D164)</f>
        <v/>
      </c>
      <c r="D29" s="2" t="str">
        <f>IF(Productos!E164="","",Productos!E164)</f>
        <v/>
      </c>
      <c r="E29" t="inlineStr">
        <is>
          <t>Sin precio en la tarifa</t>
        </is>
      </c>
    </row>
    <row r="30">
      <c r="A30" t="n">
        <v>165</v>
      </c>
      <c r="B30" t="str">
        <f>Productos!C165</f>
        <v>Capuchino</v>
      </c>
      <c r="C30" s="2">
        <f>IF(Productos!D165="","",Productos!D165)</f>
        <v>4.35</v>
      </c>
      <c r="D30" s="2">
        <f>IF(Productos!E165="","",Productos!E165)</f>
        <v>4.55</v>
      </c>
      <c r="E30" t="inlineStr"/>
    </row>
    <row r="31">
      <c r="A31" t="n">
        <v>166</v>
      </c>
      <c r="B31" t="str">
        <f>Productos!C166</f>
        <v>Café irlandés</v>
      </c>
      <c r="C31" s="2">
        <f>IF(Productos!D166="","",Productos!D166)</f>
        <v>6.5</v>
      </c>
      <c r="D31" s="2">
        <f>IF(Productos!E166="","",Productos!E166)</f>
        <v>6.7</v>
      </c>
      <c r="E31" t="inlineStr"/>
    </row>
    <row r="32">
      <c r="A32" t="n">
        <v>167</v>
      </c>
      <c r="B32" t="str">
        <f>Productos!C167</f>
        <v>Carajillo de Baileys grande</v>
      </c>
      <c r="C32" s="2">
        <f>IF(Productos!D167="","",Productos!D167)</f>
        <v>5.25</v>
      </c>
      <c r="D32" s="2">
        <f>IF(Productos!E167="","",Productos!E167)</f>
        <v>5.45</v>
      </c>
      <c r="E32" t="inlineStr"/>
    </row>
    <row r="33">
      <c r="A33" t="n">
        <v>168</v>
      </c>
      <c r="B33" t="str">
        <f>Productos!C168</f>
        <v>Trifásico de coñac</v>
      </c>
      <c r="C33" s="2">
        <f>IF(Productos!D168="","",Productos!D168)</f>
        <v>3</v>
      </c>
      <c r="D33" s="2">
        <f>IF(Productos!E168="","",Productos!E168)</f>
        <v>3.2</v>
      </c>
      <c r="E33" t="inlineStr"/>
    </row>
    <row r="34">
      <c r="A34" t="n">
        <v>169</v>
      </c>
      <c r="B34" t="str">
        <f>Productos!C169</f>
        <v>Trifásico de Baileys</v>
      </c>
      <c r="C34" s="2">
        <f>IF(Productos!D169="","",Productos!D169)</f>
        <v>3.1</v>
      </c>
      <c r="D34" s="2">
        <f>IF(Productos!E169="","",Productos!E169)</f>
        <v>3.3</v>
      </c>
      <c r="E34" t="inlineStr"/>
    </row>
    <row r="35">
      <c r="A35" t="n">
        <v>170</v>
      </c>
      <c r="B35" t="str">
        <f>Productos!C170</f>
        <v>Azúcar moreno</v>
      </c>
      <c r="C35" s="2" t="str">
        <f>IF(Productos!D170="","",Productos!D170)</f>
        <v/>
      </c>
      <c r="D35" s="2" t="str">
        <f>IF(Productos!E170="","",Productos!E170)</f>
        <v/>
      </c>
      <c r="E35" t="inlineStr">
        <is>
          <t>Sin precio en la tarifa</t>
        </is>
      </c>
    </row>
    <row r="36">
      <c r="A36" t="n">
        <v>171</v>
      </c>
      <c r="B36" t="str">
        <f>Productos!C171</f>
        <v>Leche de soja</v>
      </c>
      <c r="C36" s="2" t="str">
        <f>IF(Productos!D171="","",Productos!D171)</f>
        <v/>
      </c>
      <c r="D36" s="2" t="str">
        <f>IF(Productos!E171="","",Productos!E171)</f>
        <v/>
      </c>
      <c r="E36" t="inlineStr">
        <is>
          <t>Sin precio en la tarifa</t>
        </is>
      </c>
    </row>
    <row r="37">
      <c r="A37" t="n">
        <v>172</v>
      </c>
      <c r="B37" t="str">
        <f>Productos!C172</f>
        <v>Con corazón</v>
      </c>
      <c r="C37" s="2" t="str">
        <f>IF(Productos!D172="","",Productos!D172)</f>
        <v/>
      </c>
      <c r="D37" s="2" t="str">
        <f>IF(Productos!E172="","",Productos!E172)</f>
        <v/>
      </c>
      <c r="E37" t="inlineStr">
        <is>
          <t>Sin precio en la tarifa</t>
        </is>
      </c>
    </row>
    <row r="38">
      <c r="A38" t="n">
        <v>173</v>
      </c>
      <c r="B38" t="str">
        <f>Productos!C173</f>
        <v>Sacarina</v>
      </c>
      <c r="C38" s="2" t="str">
        <f>IF(Productos!D173="","",Productos!D173)</f>
        <v/>
      </c>
      <c r="D38" s="2" t="str">
        <f>IF(Productos!E173="","",Productos!E173)</f>
        <v/>
      </c>
      <c r="E38" t="inlineStr">
        <is>
          <t>Sin precio en la tarifa</t>
        </is>
      </c>
    </row>
    <row r="39">
      <c r="A39" t="n">
        <v>174</v>
      </c>
      <c r="B39" t="str">
        <f>Productos!C174</f>
        <v>Vaso de leche</v>
      </c>
      <c r="C39" s="2">
        <f>IF(Productos!D174="","",Productos!D174)</f>
        <v>1.35</v>
      </c>
      <c r="D39" s="2">
        <f>IF(Productos!E174="","",Productos!E174)</f>
        <v>1.55</v>
      </c>
      <c r="E39" t="inlineStr"/>
    </row>
    <row r="40">
      <c r="A40" t="n">
        <v>175</v>
      </c>
      <c r="B40" t="str">
        <f>Productos!C175</f>
        <v>Leche de avena</v>
      </c>
      <c r="C40" s="2" t="str">
        <f>IF(Productos!D175="","",Productos!D175)</f>
        <v/>
      </c>
      <c r="D40" s="2" t="str">
        <f>IF(Productos!E175="","",Productos!E175)</f>
        <v/>
      </c>
      <c r="E40" t="inlineStr">
        <is>
          <t>Sin precio en la tarifa</t>
        </is>
      </c>
    </row>
    <row r="41">
      <c r="A41" t="n">
        <v>176</v>
      </c>
      <c r="B41" t="str">
        <f>Productos!C176</f>
        <v>Leche natural</v>
      </c>
      <c r="C41" s="2" t="str">
        <f>IF(Productos!D176="","",Productos!D176)</f>
        <v/>
      </c>
      <c r="D41" s="2" t="str">
        <f>IF(Productos!E176="","",Productos!E176)</f>
        <v/>
      </c>
      <c r="E41" t="inlineStr">
        <is>
          <t>Sin precio en la tarifa</t>
        </is>
      </c>
    </row>
    <row r="42">
      <c r="A42" t="n">
        <v>177</v>
      </c>
      <c r="B42" t="str">
        <f>Productos!C177</f>
        <v>Café con leche XXL</v>
      </c>
      <c r="C42" s="2">
        <f>IF(Productos!D177="","",Productos!D177)</f>
        <v>2.2</v>
      </c>
      <c r="D42" s="2">
        <f>IF(Productos!E177="","",Productos!E177)</f>
        <v>2.4</v>
      </c>
      <c r="E42" t="inlineStr"/>
    </row>
  </sheetData>
  <autoFilter ref="A1:E42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3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48" customWidth="1" min="2" max="2"/>
    <col width="13" customWidth="1" min="3" max="3"/>
    <col width="22" customWidth="1" min="4" max="4"/>
    <col width="62" customWidth="1" min="5" max="5"/>
  </cols>
  <sheetData>
    <row r="1">
      <c r="A1" s="1" t="inlineStr">
        <is>
          <t>Código</t>
        </is>
      </c>
      <c r="B1" s="1" t="inlineStr">
        <is>
          <t>Nombre</t>
        </is>
      </c>
      <c r="C1" s="1" t="inlineStr">
        <is>
          <t>Tarifa 1 (€)</t>
        </is>
      </c>
      <c r="D1" s="1" t="inlineStr">
        <is>
          <t>Tarifa 2 - Terraza (€)</t>
        </is>
      </c>
      <c r="E1" s="1" t="inlineStr">
        <is>
          <t>Nota</t>
        </is>
      </c>
    </row>
    <row r="2">
      <c r="A2" t="n">
        <v>178</v>
      </c>
      <c r="B2" t="str">
        <f>Productos!C178</f>
        <v>Chupito de hierbas</v>
      </c>
      <c r="C2" s="2">
        <f>IF(Productos!D178="","",Productos!D178)</f>
        <v>2.45</v>
      </c>
      <c r="D2" s="2">
        <f>IF(Productos!E178="","",Productos!E178)</f>
        <v>2.65</v>
      </c>
      <c r="E2" t="inlineStr"/>
    </row>
    <row r="3">
      <c r="A3" t="n">
        <v>179</v>
      </c>
      <c r="B3" t="str">
        <f>Productos!C179</f>
        <v>Chupito de limoncello</v>
      </c>
      <c r="C3" s="2">
        <f>IF(Productos!D179="","",Productos!D179)</f>
        <v>2.45</v>
      </c>
      <c r="D3" s="2">
        <f>IF(Productos!E179="","",Productos!E179)</f>
        <v>2.65</v>
      </c>
      <c r="E3" t="inlineStr"/>
    </row>
    <row r="4">
      <c r="A4" t="n">
        <v>180</v>
      </c>
      <c r="B4" t="str">
        <f>Productos!C180</f>
        <v>Chupito de orujo blanco</v>
      </c>
      <c r="C4" s="2">
        <f>IF(Productos!D180="","",Productos!D180)</f>
        <v>2.45</v>
      </c>
      <c r="D4" s="2">
        <f>IF(Productos!E180="","",Productos!E180)</f>
        <v>2.65</v>
      </c>
      <c r="E4" t="inlineStr"/>
    </row>
    <row r="5">
      <c r="A5" t="n">
        <v>181</v>
      </c>
      <c r="B5" t="str">
        <f>Productos!C181</f>
        <v>Chupito de crema de orujo</v>
      </c>
      <c r="C5" s="2">
        <f>IF(Productos!D181="","",Productos!D181)</f>
        <v>2.7</v>
      </c>
      <c r="D5" s="2">
        <f>IF(Productos!E181="","",Productos!E181)</f>
        <v>2.9</v>
      </c>
      <c r="E5" t="inlineStr"/>
    </row>
    <row r="6">
      <c r="A6" t="n">
        <v>182</v>
      </c>
      <c r="B6" t="str">
        <f>Productos!C182</f>
        <v>Chupito de orujo de café</v>
      </c>
      <c r="C6" s="2">
        <f>IF(Productos!D182="","",Productos!D182)</f>
        <v>2.55</v>
      </c>
      <c r="D6" s="2">
        <f>IF(Productos!E182="","",Productos!E182)</f>
        <v>2.75</v>
      </c>
      <c r="E6" t="inlineStr"/>
    </row>
    <row r="7">
      <c r="A7" t="n">
        <v>183</v>
      </c>
      <c r="B7" t="str">
        <f>Productos!C183</f>
        <v>Chupito de Jägermeister</v>
      </c>
      <c r="C7" s="2">
        <f>IF(Productos!D183="","",Productos!D183)</f>
        <v>3.25</v>
      </c>
      <c r="D7" s="2">
        <f>IF(Productos!E183="","",Productos!E183)</f>
        <v>3.45</v>
      </c>
      <c r="E7" t="inlineStr"/>
    </row>
    <row r="8">
      <c r="A8" t="n">
        <v>184</v>
      </c>
      <c r="B8" t="str">
        <f>Productos!C184</f>
        <v>Chupito de Baileys</v>
      </c>
      <c r="C8" s="2">
        <f>IF(Productos!D184="","",Productos!D184)</f>
        <v>2.95</v>
      </c>
      <c r="D8" s="2">
        <f>IF(Productos!E184="","",Productos!E184)</f>
        <v>3.15</v>
      </c>
      <c r="E8" t="inlineStr"/>
    </row>
    <row r="9">
      <c r="A9" t="n">
        <v>185</v>
      </c>
      <c r="B9" t="str">
        <f>Productos!C185</f>
        <v>Grappa Nonino</v>
      </c>
      <c r="C9" s="2">
        <f>IF(Productos!D185="","",Productos!D185)</f>
        <v>3.5</v>
      </c>
      <c r="D9" s="2">
        <f>IF(Productos!E185="","",Productos!E185)</f>
        <v>3.7</v>
      </c>
      <c r="E9" t="inlineStr"/>
    </row>
    <row r="10">
      <c r="A10" t="n">
        <v>186</v>
      </c>
      <c r="B10" t="str">
        <f>Productos!C186</f>
        <v>Chupito de ron Zacapa</v>
      </c>
      <c r="C10" s="2">
        <f>IF(Productos!D186="","",Productos!D186)</f>
        <v>3.5</v>
      </c>
      <c r="D10" s="2">
        <f>IF(Productos!E186="","",Productos!E186)</f>
        <v>3.7</v>
      </c>
      <c r="E10" t="inlineStr"/>
    </row>
    <row r="11">
      <c r="A11" t="n">
        <v>187</v>
      </c>
      <c r="B11" t="str">
        <f>Productos!C187</f>
        <v>Chupito de whisky</v>
      </c>
      <c r="C11" s="2">
        <f>IF(Productos!D187="","",Productos!D187)</f>
        <v>2.75</v>
      </c>
      <c r="D11" s="2">
        <f>IF(Productos!E187="","",Productos!E187)</f>
        <v>2.95</v>
      </c>
      <c r="E11" t="inlineStr"/>
    </row>
    <row r="12">
      <c r="A12" t="n">
        <v>188</v>
      </c>
      <c r="B12" t="str">
        <f>Productos!C188</f>
        <v>Chupito de Jack Daniel's</v>
      </c>
      <c r="C12" s="2">
        <f>IF(Productos!D188="","",Productos!D188)</f>
        <v>4.5</v>
      </c>
      <c r="D12" s="2">
        <f>IF(Productos!E188="","",Productos!E188)</f>
        <v>4.7</v>
      </c>
      <c r="E12" t="inlineStr"/>
    </row>
    <row r="13">
      <c r="A13" t="n">
        <v>189</v>
      </c>
      <c r="B13" t="str">
        <f>Productos!C189</f>
        <v>Chupito de Glenrothes</v>
      </c>
      <c r="C13" s="2">
        <f>IF(Productos!D189="","",Productos!D189)</f>
        <v>3.75</v>
      </c>
      <c r="D13" s="2">
        <f>IF(Productos!E189="","",Productos!E189)</f>
        <v>3.95</v>
      </c>
      <c r="E13" t="inlineStr"/>
    </row>
    <row r="14">
      <c r="A14" t="n">
        <v>190</v>
      </c>
      <c r="B14" t="str">
        <f>Productos!C190</f>
        <v>Chupito de J&amp;B</v>
      </c>
      <c r="C14" s="2">
        <f>IF(Productos!D190="","",Productos!D190)</f>
        <v>2.95</v>
      </c>
      <c r="D14" s="2">
        <f>IF(Productos!E190="","",Productos!E190)</f>
        <v>3.15</v>
      </c>
      <c r="E14" t="inlineStr"/>
    </row>
    <row r="15">
      <c r="A15" t="n">
        <v>191</v>
      </c>
      <c r="B15" t="str">
        <f>Productos!C191</f>
        <v>Chupito de Chivas</v>
      </c>
      <c r="C15" s="2">
        <f>IF(Productos!D191="","",Productos!D191)</f>
        <v>2.25</v>
      </c>
      <c r="D15" s="2">
        <f>IF(Productos!E191="","",Productos!E191)</f>
        <v>2.45</v>
      </c>
      <c r="E15" t="inlineStr"/>
    </row>
    <row r="16">
      <c r="A16" t="n">
        <v>192</v>
      </c>
      <c r="B16" t="str">
        <f>Productos!C192</f>
        <v>Chupito de Cardhu</v>
      </c>
      <c r="C16" s="2">
        <f>IF(Productos!D192="","",Productos!D192)</f>
        <v>4.5</v>
      </c>
      <c r="D16" s="2">
        <f>IF(Productos!E192="","",Productos!E192)</f>
        <v>4.7</v>
      </c>
      <c r="E16" t="inlineStr"/>
    </row>
    <row r="17">
      <c r="A17" t="n">
        <v>193</v>
      </c>
      <c r="B17" t="str">
        <f>Productos!C193</f>
        <v>Chupito de Cutty Sark</v>
      </c>
      <c r="C17" s="2">
        <f>IF(Productos!D193="","",Productos!D193)</f>
        <v>2.75</v>
      </c>
      <c r="D17" s="2">
        <f>IF(Productos!E193="","",Productos!E193)</f>
        <v>2.95</v>
      </c>
      <c r="E17" t="inlineStr"/>
    </row>
    <row r="18">
      <c r="A18" s="3" t="n">
        <v>194</v>
      </c>
      <c r="B18" s="3" t="str">
        <f>Productos!C194</f>
        <v>Chupito de Johnnie Walker</v>
      </c>
      <c r="C18" s="4">
        <f>IF(Productos!D194="","",Productos!D194)</f>
        <v>7.5</v>
      </c>
      <c r="D18" s="4">
        <f>IF(Productos!E194="","",Productos!E194)</f>
        <v>7.7</v>
      </c>
      <c r="E18" s="3" t="inlineStr">
        <is>
          <t>Revisar: aparece más de una vez con precios distintos</t>
        </is>
      </c>
    </row>
    <row r="19">
      <c r="A19" t="n">
        <v>195</v>
      </c>
      <c r="B19" t="str">
        <f>Productos!C195</f>
        <v>Chupito de Magno</v>
      </c>
      <c r="C19" s="2">
        <f>IF(Productos!D195="","",Productos!D195)</f>
        <v>1.95</v>
      </c>
      <c r="D19" s="2">
        <f>IF(Productos!E195="","",Productos!E195)</f>
        <v>2.15</v>
      </c>
      <c r="E19" t="inlineStr"/>
    </row>
    <row r="20">
      <c r="A20" t="n">
        <v>196</v>
      </c>
      <c r="B20" t="str">
        <f>Productos!C196</f>
        <v>Cointreau</v>
      </c>
      <c r="C20" s="2">
        <f>IF(Productos!D196="","",Productos!D196)</f>
        <v>2.25</v>
      </c>
      <c r="D20" s="2">
        <f>IF(Productos!E196="","",Productos!E196)</f>
        <v>2.45</v>
      </c>
      <c r="E20" t="inlineStr"/>
    </row>
    <row r="21">
      <c r="A21" s="3" t="n">
        <v>197</v>
      </c>
      <c r="B21" s="3" t="str">
        <f>Productos!C197</f>
        <v>Chupito de Johnnie Walker</v>
      </c>
      <c r="C21" s="4">
        <f>IF(Productos!D197="","",Productos!D197)</f>
        <v>3.75</v>
      </c>
      <c r="D21" s="4">
        <f>IF(Productos!E197="","",Productos!E197)</f>
        <v>3.95</v>
      </c>
      <c r="E21" s="3" t="inlineStr">
        <is>
          <t>Revisar: aparece más de una vez con precios distintos</t>
        </is>
      </c>
    </row>
    <row r="22">
      <c r="A22" t="n">
        <v>198</v>
      </c>
      <c r="B22" t="str">
        <f>Productos!C198</f>
        <v>Chupito de Cuervo</v>
      </c>
      <c r="C22" s="2">
        <f>IF(Productos!D198="","",Productos!D198)</f>
        <v>2.5</v>
      </c>
      <c r="D22" s="2">
        <f>IF(Productos!E198="","",Productos!E198)</f>
        <v>2.7</v>
      </c>
      <c r="E22" t="inlineStr"/>
    </row>
    <row r="23">
      <c r="A23" t="n">
        <v>199</v>
      </c>
      <c r="B23" t="str">
        <f>Productos!C199</f>
        <v>Chupito de tequila</v>
      </c>
      <c r="C23" s="2">
        <f>IF(Productos!D199="","",Productos!D199)</f>
        <v>1.95</v>
      </c>
      <c r="D23" s="2">
        <f>IF(Productos!E199="","",Productos!E199)</f>
        <v>2.15</v>
      </c>
      <c r="E23" t="inlineStr"/>
    </row>
    <row r="24">
      <c r="A24" t="n">
        <v>200</v>
      </c>
      <c r="B24" t="str">
        <f>Productos!C200</f>
        <v>Chupito de pacharán</v>
      </c>
      <c r="C24" s="2">
        <f>IF(Productos!D200="","",Productos!D200)</f>
        <v>2.25</v>
      </c>
      <c r="D24" s="2">
        <f>IF(Productos!E200="","",Productos!E200)</f>
        <v>2.45</v>
      </c>
      <c r="E24" t="inlineStr"/>
    </row>
    <row r="25">
      <c r="A25" t="n">
        <v>201</v>
      </c>
      <c r="B25" t="str">
        <f>Productos!C201</f>
        <v>Chupito</v>
      </c>
      <c r="C25" s="2">
        <f>IF(Productos!D201="","",Productos!D201)</f>
        <v>2.75</v>
      </c>
      <c r="D25" s="2">
        <f>IF(Productos!E201="","",Productos!E201)</f>
        <v>2.95</v>
      </c>
      <c r="E25" t="inlineStr"/>
    </row>
    <row r="26">
      <c r="A26" t="n">
        <v>202</v>
      </c>
      <c r="B26" t="str">
        <f>Productos!C202</f>
        <v>Cubo de orujo</v>
      </c>
      <c r="C26" s="2">
        <f>IF(Productos!D202="","",Productos!D202)</f>
        <v>3.75</v>
      </c>
      <c r="D26" s="2">
        <f>IF(Productos!E202="","",Productos!E202)</f>
        <v>3.95</v>
      </c>
      <c r="E26" t="inlineStr"/>
    </row>
    <row r="27">
      <c r="A27" t="n">
        <v>203</v>
      </c>
      <c r="B27" t="str">
        <f>Productos!C203</f>
        <v>Tubo de Baileys</v>
      </c>
      <c r="C27" s="2">
        <f>IF(Productos!D203="","",Productos!D203)</f>
        <v>6.5</v>
      </c>
      <c r="D27" s="2">
        <f>IF(Productos!E203="","",Productos!E203)</f>
        <v>6.7</v>
      </c>
      <c r="E27" t="inlineStr"/>
    </row>
    <row r="28">
      <c r="A28" t="n">
        <v>204</v>
      </c>
      <c r="B28" t="str">
        <f>Productos!C204</f>
        <v>Tubo de orujo de hierbas</v>
      </c>
      <c r="C28" s="2">
        <f>IF(Productos!D204="","",Productos!D204)</f>
        <v>6</v>
      </c>
      <c r="D28" s="2">
        <f>IF(Productos!E204="","",Productos!E204)</f>
        <v>6.2</v>
      </c>
      <c r="E28" t="inlineStr"/>
    </row>
    <row r="29">
      <c r="A29" t="n">
        <v>205</v>
      </c>
      <c r="B29" t="str">
        <f>Productos!C205</f>
        <v>Tubo de limoncello</v>
      </c>
      <c r="C29" s="2">
        <f>IF(Productos!D205="","",Productos!D205)</f>
        <v>5.5</v>
      </c>
      <c r="D29" s="2">
        <f>IF(Productos!E205="","",Productos!E205)</f>
        <v>5.7</v>
      </c>
      <c r="E29" t="inlineStr"/>
    </row>
    <row r="30">
      <c r="A30" t="n">
        <v>206</v>
      </c>
      <c r="B30" t="str">
        <f>Productos!C206</f>
        <v>Tubo de crema de orujo</v>
      </c>
      <c r="C30" s="2">
        <f>IF(Productos!D206="","",Productos!D206)</f>
        <v>6</v>
      </c>
      <c r="D30" s="2">
        <f>IF(Productos!E206="","",Productos!E206)</f>
        <v>6.2</v>
      </c>
      <c r="E30" t="inlineStr"/>
    </row>
    <row r="31">
      <c r="A31" t="n">
        <v>207</v>
      </c>
      <c r="B31" t="str">
        <f>Productos!C207</f>
        <v>Tubo de orujo blanco</v>
      </c>
      <c r="C31" s="2">
        <f>IF(Productos!D207="","",Productos!D207)</f>
        <v>5.95</v>
      </c>
      <c r="D31" s="2">
        <f>IF(Productos!E207="","",Productos!E207)</f>
        <v>6.15</v>
      </c>
      <c r="E31" t="inlineStr"/>
    </row>
    <row r="32">
      <c r="A32" t="n">
        <v>208</v>
      </c>
      <c r="B32" t="str">
        <f>Productos!C208</f>
        <v>Tubo de pacharán</v>
      </c>
      <c r="C32" s="2">
        <f>IF(Productos!D208="","",Productos!D208)</f>
        <v>5.95</v>
      </c>
      <c r="D32" s="2">
        <f>IF(Productos!E208="","",Productos!E208)</f>
        <v>6.15</v>
      </c>
      <c r="E32" t="inlineStr"/>
    </row>
  </sheetData>
  <autoFilter ref="A1:E32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2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48" customWidth="1" min="2" max="2"/>
    <col width="13" customWidth="1" min="3" max="3"/>
    <col width="22" customWidth="1" min="4" max="4"/>
    <col width="62" customWidth="1" min="5" max="5"/>
  </cols>
  <sheetData>
    <row r="1">
      <c r="A1" s="1" t="inlineStr">
        <is>
          <t>Código</t>
        </is>
      </c>
      <c r="B1" s="1" t="inlineStr">
        <is>
          <t>Nombre</t>
        </is>
      </c>
      <c r="C1" s="1" t="inlineStr">
        <is>
          <t>Tarifa 1 (€)</t>
        </is>
      </c>
      <c r="D1" s="1" t="inlineStr">
        <is>
          <t>Tarifa 2 - Terraza (€)</t>
        </is>
      </c>
      <c r="E1" s="1" t="inlineStr">
        <is>
          <t>Nota</t>
        </is>
      </c>
    </row>
    <row r="2">
      <c r="A2" s="3" t="n">
        <v>209</v>
      </c>
      <c r="B2" s="3" t="str">
        <f>Productos!C209</f>
        <v>Copa de Magno</v>
      </c>
      <c r="C2" s="4">
        <f>IF(Productos!D209="","",Productos!D209)</f>
        <v>2.95</v>
      </c>
      <c r="D2" s="4">
        <f>IF(Productos!E209="","",Productos!E209)</f>
        <v>3.15</v>
      </c>
      <c r="E2" s="3" t="inlineStr">
        <is>
          <t>Revisar: aparece más de una vez con precios distintos</t>
        </is>
      </c>
    </row>
    <row r="3">
      <c r="A3" t="n">
        <v>210</v>
      </c>
      <c r="B3" t="str">
        <f>Productos!C210</f>
        <v>Veterano</v>
      </c>
      <c r="C3" s="2">
        <f>IF(Productos!D210="","",Productos!D210)</f>
        <v>1.7</v>
      </c>
      <c r="D3" s="2">
        <f>IF(Productos!E210="","",Productos!E210)</f>
        <v>1.9</v>
      </c>
      <c r="E3" t="inlineStr"/>
    </row>
    <row r="4">
      <c r="A4" t="n">
        <v>211</v>
      </c>
      <c r="B4" t="str">
        <f>Productos!C211</f>
        <v>Copa de whisky J&amp;B</v>
      </c>
      <c r="C4" s="2">
        <f>IF(Productos!D211="","",Productos!D211)</f>
        <v>5.5</v>
      </c>
      <c r="D4" s="2">
        <f>IF(Productos!E211="","",Productos!E211)</f>
        <v>5.7</v>
      </c>
      <c r="E4" t="inlineStr"/>
    </row>
    <row r="5">
      <c r="A5" t="n">
        <v>212</v>
      </c>
      <c r="B5" t="str">
        <f>Productos!C212</f>
        <v>Copa de ratafía</v>
      </c>
      <c r="C5" s="2">
        <f>IF(Productos!D212="","",Productos!D212)</f>
        <v>3.95</v>
      </c>
      <c r="D5" s="2">
        <f>IF(Productos!E212="","",Productos!E212)</f>
        <v>4.15</v>
      </c>
      <c r="E5" t="inlineStr"/>
    </row>
    <row r="6">
      <c r="A6" t="n">
        <v>213</v>
      </c>
      <c r="B6" t="str">
        <f>Productos!C213</f>
        <v>Copa de ron Pujol</v>
      </c>
      <c r="C6" s="2">
        <f>IF(Productos!D213="","",Productos!D213)</f>
        <v>3.5</v>
      </c>
      <c r="D6" s="2">
        <f>IF(Productos!E213="","",Productos!E213)</f>
        <v>3.7</v>
      </c>
      <c r="E6" t="inlineStr"/>
    </row>
    <row r="7">
      <c r="A7" t="n">
        <v>214</v>
      </c>
      <c r="B7" t="str">
        <f>Productos!C214</f>
        <v>Tubo de Ponche Caballero</v>
      </c>
      <c r="C7" s="2">
        <f>IF(Productos!D214="","",Productos!D214)</f>
        <v>5.95</v>
      </c>
      <c r="D7" s="2">
        <f>IF(Productos!E214="","",Productos!E214)</f>
        <v>6.15</v>
      </c>
      <c r="E7" t="inlineStr"/>
    </row>
    <row r="8">
      <c r="A8" t="n">
        <v>215</v>
      </c>
      <c r="B8" t="str">
        <f>Productos!C215</f>
        <v>Copa de Jack Daniel's</v>
      </c>
      <c r="C8" s="2">
        <f>IF(Productos!D215="","",Productos!D215)</f>
        <v>7.5</v>
      </c>
      <c r="D8" s="2">
        <f>IF(Productos!E215="","",Productos!E215)</f>
        <v>7.7</v>
      </c>
      <c r="E8" t="inlineStr"/>
    </row>
    <row r="9">
      <c r="A9" t="n">
        <v>216</v>
      </c>
      <c r="B9" t="str">
        <f>Productos!C216</f>
        <v>Cubo de Marie Brizard</v>
      </c>
      <c r="C9" s="2">
        <f>IF(Productos!D216="","",Productos!D216)</f>
        <v>4.7</v>
      </c>
      <c r="D9" s="2">
        <f>IF(Productos!E216="","",Productos!E216)</f>
        <v>4.9</v>
      </c>
      <c r="E9" t="inlineStr"/>
    </row>
    <row r="10">
      <c r="A10" s="3" t="n">
        <v>217</v>
      </c>
      <c r="B10" s="3" t="str">
        <f>Productos!C217</f>
        <v>Copa de Magno</v>
      </c>
      <c r="C10" s="4">
        <f>IF(Productos!D217="","",Productos!D217)</f>
        <v>3.15</v>
      </c>
      <c r="D10" s="4">
        <f>IF(Productos!E217="","",Productos!E217)</f>
        <v>3.35</v>
      </c>
      <c r="E10" s="3" t="inlineStr">
        <is>
          <t>Revisar: aparece más de una vez con precios distintos</t>
        </is>
      </c>
    </row>
    <row r="11">
      <c r="A11" t="n">
        <v>218</v>
      </c>
      <c r="B11" t="str">
        <f>Productos!C218</f>
        <v>Copa de Anís del Mono</v>
      </c>
      <c r="C11" s="2">
        <f>IF(Productos!D218="","",Productos!D218)</f>
        <v>3.35</v>
      </c>
      <c r="D11" s="2">
        <f>IF(Productos!E218="","",Productos!E218)</f>
        <v>3.55</v>
      </c>
      <c r="E11" t="inlineStr"/>
    </row>
    <row r="12">
      <c r="A12" t="n">
        <v>219</v>
      </c>
      <c r="B12" t="str">
        <f>Productos!C219</f>
        <v>Tubo de Jack Daniel's</v>
      </c>
      <c r="C12" s="2">
        <f>IF(Productos!D219="","",Productos!D219)</f>
        <v>7.5</v>
      </c>
      <c r="D12" s="2">
        <f>IF(Productos!E219="","",Productos!E219)</f>
        <v>7.7</v>
      </c>
      <c r="E12" t="inlineStr"/>
    </row>
    <row r="13">
      <c r="A13" t="n">
        <v>220</v>
      </c>
      <c r="B13" t="str">
        <f>Productos!C220</f>
        <v>Tubo de Ballantine's</v>
      </c>
      <c r="C13" s="2">
        <f>IF(Productos!D220="","",Productos!D220)</f>
        <v>5.95</v>
      </c>
      <c r="D13" s="2">
        <f>IF(Productos!E220="","",Productos!E220)</f>
        <v>6.15</v>
      </c>
      <c r="E13" t="inlineStr"/>
    </row>
    <row r="14">
      <c r="A14" t="n">
        <v>221</v>
      </c>
      <c r="B14" t="str">
        <f>Productos!C221</f>
        <v>Copa de Ponche Caballero</v>
      </c>
      <c r="C14" s="2">
        <f>IF(Productos!D221="","",Productos!D221)</f>
        <v>3.55</v>
      </c>
      <c r="D14" s="2">
        <f>IF(Productos!E221="","",Productos!E221)</f>
        <v>3.75</v>
      </c>
      <c r="E14" t="inlineStr"/>
    </row>
    <row r="15">
      <c r="A15" t="n">
        <v>222</v>
      </c>
      <c r="B15" t="str">
        <f>Productos!C222</f>
        <v>Tubo de Anís del Mono</v>
      </c>
      <c r="C15" s="2">
        <f>IF(Productos!D222="","",Productos!D222)</f>
        <v>3.95</v>
      </c>
      <c r="D15" s="2">
        <f>IF(Productos!E222="","",Productos!E222)</f>
        <v>4.15</v>
      </c>
      <c r="E15" t="inlineStr"/>
    </row>
    <row r="16">
      <c r="A16" t="n">
        <v>223</v>
      </c>
      <c r="B16" t="str">
        <f>Productos!C223</f>
        <v>Copa de Ballantine's</v>
      </c>
      <c r="C16" s="2">
        <f>IF(Productos!D223="","",Productos!D223)</f>
        <v>3.7</v>
      </c>
      <c r="D16" s="2">
        <f>IF(Productos!E223="","",Productos!E223)</f>
        <v>3.9</v>
      </c>
      <c r="E16" t="inlineStr"/>
    </row>
    <row r="17">
      <c r="A17" t="n">
        <v>224</v>
      </c>
      <c r="B17" t="str">
        <f>Productos!C224</f>
        <v>Tubo de Frangelico</v>
      </c>
      <c r="C17" s="2">
        <f>IF(Productos!D224="","",Productos!D224)</f>
        <v>4.25</v>
      </c>
      <c r="D17" s="2">
        <f>IF(Productos!E224="","",Productos!E224)</f>
        <v>4.45</v>
      </c>
      <c r="E17" t="inlineStr"/>
    </row>
    <row r="18">
      <c r="A18" t="n">
        <v>225</v>
      </c>
      <c r="B18" t="str">
        <f>Productos!C225</f>
        <v>Copa de Cardhu</v>
      </c>
      <c r="C18" s="2">
        <f>IF(Productos!D225="","",Productos!D225)</f>
        <v>8.5</v>
      </c>
      <c r="D18" s="2">
        <f>IF(Productos!E225="","",Productos!E225)</f>
        <v>8.7</v>
      </c>
      <c r="E18" t="inlineStr"/>
    </row>
    <row r="19">
      <c r="A19" t="n">
        <v>226</v>
      </c>
      <c r="B19" t="str">
        <f>Productos!C226</f>
        <v>Copa de pacharán</v>
      </c>
      <c r="C19" s="2">
        <f>IF(Productos!D226="","",Productos!D226)</f>
        <v>4.5</v>
      </c>
      <c r="D19" s="2">
        <f>IF(Productos!E226="","",Productos!E226)</f>
        <v>4.7</v>
      </c>
      <c r="E19" t="inlineStr"/>
    </row>
    <row r="20">
      <c r="A20" t="n">
        <v>227</v>
      </c>
      <c r="B20" t="str">
        <f>Productos!C227</f>
        <v>Copa de orujo de hierbas</v>
      </c>
      <c r="C20" s="2">
        <f>IF(Productos!D227="","",Productos!D227)</f>
        <v>4.5</v>
      </c>
      <c r="D20" s="2">
        <f>IF(Productos!E227="","",Productos!E227)</f>
        <v>4.7</v>
      </c>
      <c r="E20" t="inlineStr"/>
    </row>
    <row r="21">
      <c r="A21" t="n">
        <v>228</v>
      </c>
      <c r="B21" t="str">
        <f>Productos!C228</f>
        <v>Copa de orujo blanco</v>
      </c>
      <c r="C21" s="2">
        <f>IF(Productos!D228="","",Productos!D228)</f>
        <v>3.75</v>
      </c>
      <c r="D21" s="2">
        <f>IF(Productos!E228="","",Productos!E228)</f>
        <v>3.95</v>
      </c>
      <c r="E21" t="inlineStr"/>
    </row>
    <row r="22">
      <c r="A22" t="n">
        <v>229</v>
      </c>
      <c r="B22" t="str">
        <f>Productos!C229</f>
        <v>Copa de crema de orujo</v>
      </c>
      <c r="C22" s="2">
        <f>IF(Productos!D229="","",Productos!D229)</f>
        <v>3.75</v>
      </c>
      <c r="D22" s="2">
        <f>IF(Productos!E229="","",Productos!E229)</f>
        <v>3.95</v>
      </c>
      <c r="E22" t="inlineStr"/>
    </row>
    <row r="23">
      <c r="A23" t="n">
        <v>230</v>
      </c>
      <c r="B23" t="str">
        <f>Productos!C230</f>
        <v>Copa de Baileys</v>
      </c>
      <c r="C23" s="2">
        <f>IF(Productos!D230="","",Productos!D230)</f>
        <v>3.75</v>
      </c>
      <c r="D23" s="2">
        <f>IF(Productos!E230="","",Productos!E230)</f>
        <v>3.95</v>
      </c>
      <c r="E23" t="inlineStr"/>
    </row>
    <row r="24">
      <c r="A24" s="3" t="n">
        <v>231</v>
      </c>
      <c r="B24" s="3" t="str">
        <f>Productos!C231</f>
        <v>Copa de café</v>
      </c>
      <c r="C24" s="4">
        <f>IF(Productos!D231="","",Productos!D231)</f>
        <v>3.75</v>
      </c>
      <c r="D24" s="4">
        <f>IF(Productos!E231="","",Productos!E231)</f>
        <v>3.95</v>
      </c>
      <c r="E24" s="3" t="inlineStr">
        <is>
          <t>Revisar: no sé si es licor de café</t>
        </is>
      </c>
    </row>
  </sheetData>
  <autoFilter ref="A1:E24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48" customWidth="1" min="2" max="2"/>
    <col width="13" customWidth="1" min="3" max="3"/>
    <col width="22" customWidth="1" min="4" max="4"/>
    <col width="62" customWidth="1" min="5" max="5"/>
  </cols>
  <sheetData>
    <row r="1">
      <c r="A1" s="1" t="inlineStr">
        <is>
          <t>Código</t>
        </is>
      </c>
      <c r="B1" s="1" t="inlineStr">
        <is>
          <t>Nombre</t>
        </is>
      </c>
      <c r="C1" s="1" t="inlineStr">
        <is>
          <t>Tarifa 1 (€)</t>
        </is>
      </c>
      <c r="D1" s="1" t="inlineStr">
        <is>
          <t>Tarifa 2 - Terraza (€)</t>
        </is>
      </c>
      <c r="E1" s="1" t="inlineStr">
        <is>
          <t>Nota</t>
        </is>
      </c>
    </row>
    <row r="2">
      <c r="A2" t="n">
        <v>232</v>
      </c>
      <c r="B2" t="str">
        <f>Productos!C232</f>
        <v>Puerto de Indias</v>
      </c>
      <c r="C2" s="2">
        <f>IF(Productos!D232="","",Productos!D232)</f>
        <v>7.95</v>
      </c>
      <c r="D2" s="2">
        <f>IF(Productos!E232="","",Productos!E232)</f>
        <v>8.15</v>
      </c>
      <c r="E2" t="inlineStr"/>
    </row>
    <row r="3">
      <c r="A3" t="n">
        <v>233</v>
      </c>
      <c r="B3" t="str">
        <f>Productos!C233</f>
        <v>Bombay</v>
      </c>
      <c r="C3" s="2">
        <f>IF(Productos!D233="","",Productos!D233)</f>
        <v>8.5</v>
      </c>
      <c r="D3" s="2">
        <f>IF(Productos!E233="","",Productos!E233)</f>
        <v>8.7</v>
      </c>
      <c r="E3" t="inlineStr"/>
    </row>
    <row r="4">
      <c r="A4" t="n">
        <v>234</v>
      </c>
      <c r="B4" t="str">
        <f>Productos!C234</f>
        <v>Bacardí</v>
      </c>
      <c r="C4" s="2">
        <f>IF(Productos!D234="","",Productos!D234)</f>
        <v>7.8</v>
      </c>
      <c r="D4" s="2">
        <f>IF(Productos!E234="","",Productos!E234)</f>
        <v>8.0</v>
      </c>
      <c r="E4" t="inlineStr"/>
    </row>
    <row r="5">
      <c r="A5" t="n">
        <v>235</v>
      </c>
      <c r="B5" t="str">
        <f>Productos!C235</f>
        <v>Brugal</v>
      </c>
      <c r="C5" s="2">
        <f>IF(Productos!D235="","",Productos!D235)</f>
        <v>7.8</v>
      </c>
      <c r="D5" s="2">
        <f>IF(Productos!E235="","",Productos!E235)</f>
        <v>8.0</v>
      </c>
      <c r="E5" t="inlineStr"/>
    </row>
    <row r="6">
      <c r="A6" t="n">
        <v>236</v>
      </c>
      <c r="B6" t="str">
        <f>Productos!C236</f>
        <v>Cacique</v>
      </c>
      <c r="C6" s="2">
        <f>IF(Productos!D236="","",Productos!D236)</f>
        <v>7.75</v>
      </c>
      <c r="D6" s="2">
        <f>IF(Productos!E236="","",Productos!E236)</f>
        <v>7.95</v>
      </c>
      <c r="E6" t="inlineStr"/>
    </row>
    <row r="7">
      <c r="A7" t="n">
        <v>237</v>
      </c>
      <c r="B7" t="str">
        <f>Productos!C237</f>
        <v>Cubata Cutty Sark</v>
      </c>
      <c r="C7" s="2">
        <f>IF(Productos!D237="","",Productos!D237)</f>
        <v>7.7</v>
      </c>
      <c r="D7" s="2">
        <f>IF(Productos!E237="","",Productos!E237)</f>
        <v>7.9</v>
      </c>
      <c r="E7" t="inlineStr"/>
    </row>
    <row r="8">
      <c r="A8" t="n">
        <v>238</v>
      </c>
      <c r="B8" t="str">
        <f>Productos!C238</f>
        <v>Cubata J&amp;B</v>
      </c>
      <c r="C8" s="2">
        <f>IF(Productos!D238="","",Productos!D238)</f>
        <v>7.7</v>
      </c>
      <c r="D8" s="2">
        <f>IF(Productos!E238="","",Productos!E238)</f>
        <v>7.9</v>
      </c>
      <c r="E8" t="inlineStr"/>
    </row>
    <row r="9">
      <c r="A9" t="n">
        <v>239</v>
      </c>
      <c r="B9" t="str">
        <f>Productos!C239</f>
        <v>Cubata Ballantine's</v>
      </c>
      <c r="C9" s="2">
        <f>IF(Productos!D239="","",Productos!D239)</f>
        <v>7.7</v>
      </c>
      <c r="D9" s="2">
        <f>IF(Productos!E239="","",Productos!E239)</f>
        <v>7.9</v>
      </c>
      <c r="E9" t="inlineStr"/>
    </row>
    <row r="10">
      <c r="A10" t="n">
        <v>240</v>
      </c>
      <c r="B10" t="str">
        <f>Productos!C240</f>
        <v>Vodka</v>
      </c>
      <c r="C10" s="2">
        <f>IF(Productos!D240="","",Productos!D240)</f>
        <v>7.7</v>
      </c>
      <c r="D10" s="2">
        <f>IF(Productos!E240="","",Productos!E240)</f>
        <v>7.9</v>
      </c>
      <c r="E10" t="inlineStr"/>
    </row>
    <row r="11">
      <c r="A11" t="n">
        <v>241</v>
      </c>
      <c r="B11" t="str">
        <f>Productos!C241</f>
        <v>Jack Daniel's</v>
      </c>
      <c r="C11" s="2">
        <f>IF(Productos!D241="","",Productos!D241)</f>
        <v>8.5</v>
      </c>
      <c r="D11" s="2">
        <f>IF(Productos!E241="","",Productos!E241)</f>
        <v>8.7</v>
      </c>
      <c r="E11" t="inlineStr"/>
    </row>
    <row r="12">
      <c r="A12" t="n">
        <v>242</v>
      </c>
      <c r="B12" t="str">
        <f>Productos!C242</f>
        <v>Mojito</v>
      </c>
      <c r="C12" s="2">
        <f>IF(Productos!D242="","",Productos!D242)</f>
        <v>6.95</v>
      </c>
      <c r="D12" s="2">
        <f>IF(Productos!E242="","",Productos!E242)</f>
        <v>7.15</v>
      </c>
      <c r="E12" t="inlineStr"/>
    </row>
    <row r="13">
      <c r="A13" t="n">
        <v>243</v>
      </c>
      <c r="B13" t="str">
        <f>Productos!C243</f>
        <v>Beefeater</v>
      </c>
      <c r="C13" s="2">
        <f>IF(Productos!D243="","",Productos!D243)</f>
        <v>7.7</v>
      </c>
      <c r="D13" s="2">
        <f>IF(Productos!E243="","",Productos!E243)</f>
        <v>7.9</v>
      </c>
      <c r="E13" t="inlineStr"/>
    </row>
    <row r="14">
      <c r="A14" t="n">
        <v>244</v>
      </c>
      <c r="B14" t="str">
        <f>Productos!C244</f>
        <v>Seagram's con tónica</v>
      </c>
      <c r="C14" s="2">
        <f>IF(Productos!D244="","",Productos!D244)</f>
        <v>7.95</v>
      </c>
      <c r="D14" s="2">
        <f>IF(Productos!E244="","",Productos!E244)</f>
        <v>8.15</v>
      </c>
      <c r="E14" t="inlineStr"/>
    </row>
    <row r="15">
      <c r="A15" t="n">
        <v>245</v>
      </c>
      <c r="B15" t="str">
        <f>Productos!C245</f>
        <v>Four Roses</v>
      </c>
      <c r="C15" s="2">
        <f>IF(Productos!D245="","",Productos!D245)</f>
        <v>6.5</v>
      </c>
      <c r="D15" s="2">
        <f>IF(Productos!E245="","",Productos!E245)</f>
        <v>6.7</v>
      </c>
      <c r="E15" t="inlineStr"/>
    </row>
  </sheetData>
  <autoFilter ref="A1:E15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48" customWidth="1" min="2" max="2"/>
    <col width="13" customWidth="1" min="3" max="3"/>
    <col width="22" customWidth="1" min="4" max="4"/>
    <col width="62" customWidth="1" min="5" max="5"/>
  </cols>
  <sheetData>
    <row r="1">
      <c r="A1" s="1" t="inlineStr">
        <is>
          <t>Código</t>
        </is>
      </c>
      <c r="B1" s="1" t="inlineStr">
        <is>
          <t>Nombre</t>
        </is>
      </c>
      <c r="C1" s="1" t="inlineStr">
        <is>
          <t>Tarifa 1 (€)</t>
        </is>
      </c>
      <c r="D1" s="1" t="inlineStr">
        <is>
          <t>Tarifa 2 - Terraza (€)</t>
        </is>
      </c>
      <c r="E1" s="1" t="inlineStr">
        <is>
          <t>Nota</t>
        </is>
      </c>
    </row>
    <row r="2">
      <c r="A2" t="n">
        <v>246</v>
      </c>
      <c r="B2" t="str">
        <f>Productos!C246</f>
        <v>Ensalada de pollo</v>
      </c>
      <c r="C2" s="2">
        <f>IF(Productos!D246="","",Productos!D246)</f>
        <v>5.5</v>
      </c>
      <c r="D2" s="2">
        <f>IF(Productos!E246="","",Productos!E246)</f>
        <v>5.7</v>
      </c>
      <c r="E2" t="inlineStr"/>
    </row>
    <row r="3">
      <c r="A3" t="n">
        <v>247</v>
      </c>
      <c r="B3" t="str">
        <f>Productos!C247</f>
        <v>Ensalada de queso</v>
      </c>
      <c r="C3" s="2">
        <f>IF(Productos!D247="","",Productos!D247)</f>
        <v>7.5</v>
      </c>
      <c r="D3" s="2">
        <f>IF(Productos!E247="","",Productos!E247)</f>
        <v>7.7</v>
      </c>
      <c r="E3" t="inlineStr"/>
    </row>
    <row r="4">
      <c r="A4" t="n">
        <v>248</v>
      </c>
      <c r="B4" t="str">
        <f>Productos!C248</f>
        <v>Ensalada verde</v>
      </c>
      <c r="C4" s="2">
        <f>IF(Productos!D248="","",Productos!D248)</f>
        <v>5.7</v>
      </c>
      <c r="D4" s="2">
        <f>IF(Productos!E248="","",Productos!E248)</f>
        <v>5.9</v>
      </c>
      <c r="E4" t="inlineStr"/>
    </row>
    <row r="5">
      <c r="A5" t="n">
        <v>249</v>
      </c>
      <c r="B5" t="str">
        <f>Productos!C249</f>
        <v>Ensalada Els Tr3s</v>
      </c>
      <c r="C5" s="2">
        <f>IF(Productos!D249="","",Productos!D249)</f>
        <v>7.95</v>
      </c>
      <c r="D5" s="2">
        <f>IF(Productos!E249="","",Productos!E249)</f>
        <v>8.15</v>
      </c>
      <c r="E5" t="inlineStr"/>
    </row>
    <row r="6">
      <c r="A6" t="n">
        <v>250</v>
      </c>
      <c r="B6" t="str">
        <f>Productos!C250</f>
        <v>Menú especial</v>
      </c>
      <c r="C6" s="2">
        <f>IF(Productos!D250="","",Productos!D250)</f>
        <v>13.5</v>
      </c>
      <c r="D6" s="2">
        <f>IF(Productos!E250="","",Productos!E250)</f>
        <v>13.7</v>
      </c>
      <c r="E6" t="inlineStr"/>
    </row>
    <row r="7">
      <c r="A7" t="n">
        <v>251</v>
      </c>
      <c r="B7" t="str">
        <f>Productos!C251</f>
        <v>Menú</v>
      </c>
      <c r="C7" s="2">
        <f>IF(Productos!D251="","",Productos!D251)</f>
        <v>9.95</v>
      </c>
      <c r="D7" s="2">
        <f>IF(Productos!E251="","",Productos!E251)</f>
        <v>10.15</v>
      </c>
      <c r="E7" t="inlineStr"/>
    </row>
    <row r="8">
      <c r="A8" t="n">
        <v>252</v>
      </c>
      <c r="B8" t="str">
        <f>Productos!C252</f>
        <v>Sepia a la plancha con guarnición</v>
      </c>
      <c r="C8" s="2">
        <f>IF(Productos!D252="","",Productos!D252)</f>
        <v>10.25</v>
      </c>
      <c r="D8" s="2">
        <f>IF(Productos!E252="","",Productos!E252)</f>
        <v>10.45</v>
      </c>
      <c r="E8" t="inlineStr"/>
    </row>
    <row r="9">
      <c r="A9" t="n">
        <v>253</v>
      </c>
      <c r="B9" t="str">
        <f>Productos!C253</f>
        <v>Entrecot con guarnición</v>
      </c>
      <c r="C9" s="2">
        <f>IF(Productos!D253="","",Productos!D253)</f>
        <v>13.95</v>
      </c>
      <c r="D9" s="2">
        <f>IF(Productos!E253="","",Productos!E253)</f>
        <v>14.15</v>
      </c>
      <c r="E9" t="inlineStr"/>
    </row>
    <row r="10">
      <c r="A10" t="n">
        <v>254</v>
      </c>
      <c r="B10" t="str">
        <f>Productos!C254</f>
        <v>Paella</v>
      </c>
      <c r="C10" s="2">
        <f>IF(Productos!D254="","",Productos!D254)</f>
        <v>6.5</v>
      </c>
      <c r="D10" s="2">
        <f>IF(Productos!E254="","",Productos!E254)</f>
        <v>6.7</v>
      </c>
      <c r="E10" t="inlineStr"/>
    </row>
    <row r="11">
      <c r="A11" t="n">
        <v>255</v>
      </c>
      <c r="B11" t="str">
        <f>Productos!C255</f>
        <v>Menú Uri</v>
      </c>
      <c r="C11" s="2">
        <f>IF(Productos!D255="","",Productos!D255)</f>
        <v>10</v>
      </c>
      <c r="D11" s="2">
        <f>IF(Productos!E255="","",Productos!E255)</f>
        <v>10.2</v>
      </c>
      <c r="E11" t="inlineStr"/>
    </row>
    <row r="12">
      <c r="A12" t="n">
        <v>256</v>
      </c>
      <c r="B12" t="str">
        <f>Productos!C256</f>
        <v>Fideuá</v>
      </c>
      <c r="C12" s="2">
        <f>IF(Productos!D256="","",Productos!D256)</f>
        <v>5.5</v>
      </c>
      <c r="D12" s="2">
        <f>IF(Productos!E256="","",Productos!E256)</f>
        <v>5.7</v>
      </c>
      <c r="E12" t="inlineStr"/>
    </row>
    <row r="13">
      <c r="A13" t="n">
        <v>257</v>
      </c>
      <c r="B13" t="str">
        <f>Productos!C257</f>
        <v>Amanida braves butifarra</v>
      </c>
      <c r="C13" s="2">
        <f>IF(Productos!D257="","",Productos!D257)</f>
        <v>12.5</v>
      </c>
      <c r="D13" s="2">
        <f>IF(Productos!E257="","",Productos!E257)</f>
        <v>12.7</v>
      </c>
      <c r="E13" t="inlineStr"/>
    </row>
    <row r="14">
      <c r="A14" t="n">
        <v>258</v>
      </c>
      <c r="B14" t="str">
        <f>Productos!C258</f>
        <v>Amanida pollastre patates fregides</v>
      </c>
      <c r="C14" s="2">
        <f>IF(Productos!D258="","",Productos!D258)</f>
        <v>12.5</v>
      </c>
      <c r="D14" s="2">
        <f>IF(Productos!E258="","",Productos!E258)</f>
        <v>12.7</v>
      </c>
      <c r="E14" t="inlineStr"/>
    </row>
    <row r="15">
      <c r="A15" t="n">
        <v>259</v>
      </c>
      <c r="B15" t="str">
        <f>Productos!C259</f>
        <v>Combinado 3</v>
      </c>
      <c r="C15" s="2">
        <f>IF(Productos!D259="","",Productos!D259)</f>
        <v>9.5</v>
      </c>
      <c r="D15" s="2">
        <f>IF(Productos!E259="","",Productos!E259)</f>
        <v>9.7</v>
      </c>
      <c r="E15" t="inlineStr"/>
    </row>
    <row r="16">
      <c r="A16" t="n">
        <v>260</v>
      </c>
      <c r="B16" t="str">
        <f>Productos!C260</f>
        <v>Combinado 4</v>
      </c>
      <c r="C16" s="2">
        <f>IF(Productos!D260="","",Productos!D260)</f>
        <v>12.95</v>
      </c>
      <c r="D16" s="2">
        <f>IF(Productos!E260="","",Productos!E260)</f>
        <v>13.15</v>
      </c>
      <c r="E16" t="inlineStr"/>
    </row>
    <row r="17">
      <c r="A17" t="n">
        <v>261</v>
      </c>
      <c r="B17" t="str">
        <f>Productos!C261</f>
        <v>Combinado 5</v>
      </c>
      <c r="C17" s="2">
        <f>IF(Productos!D261="","",Productos!D261)</f>
        <v>9.5</v>
      </c>
      <c r="D17" s="2">
        <f>IF(Productos!E261="","",Productos!E261)</f>
        <v>9.7</v>
      </c>
      <c r="E17" t="inlineStr"/>
    </row>
    <row r="18">
      <c r="A18" t="n">
        <v>262</v>
      </c>
      <c r="B18" t="str">
        <f>Productos!C262</f>
        <v>Combinado 6</v>
      </c>
      <c r="C18" s="2">
        <f>IF(Productos!D262="","",Productos!D262)</f>
        <v>9.5</v>
      </c>
      <c r="D18" s="2">
        <f>IF(Productos!E262="","",Productos!E262)</f>
        <v>9.7</v>
      </c>
      <c r="E18" t="inlineStr"/>
    </row>
    <row r="19">
      <c r="A19" t="n">
        <v>263</v>
      </c>
      <c r="B19" t="str">
        <f>Productos!C263</f>
        <v>Combinado 7</v>
      </c>
      <c r="C19" s="2">
        <f>IF(Productos!D263="","",Productos!D263)</f>
        <v>12.95</v>
      </c>
      <c r="D19" s="2">
        <f>IF(Productos!E263="","",Productos!E263)</f>
        <v>13.15</v>
      </c>
      <c r="E19" t="inlineStr"/>
    </row>
    <row r="20">
      <c r="A20" t="n">
        <v>264</v>
      </c>
      <c r="B20" t="str">
        <f>Productos!C264</f>
        <v>Combinado 8</v>
      </c>
      <c r="C20" s="2">
        <f>IF(Productos!D264="","",Productos!D264)</f>
        <v>12.75</v>
      </c>
      <c r="D20" s="2">
        <f>IF(Productos!E264="","",Productos!E264)</f>
        <v>12.95</v>
      </c>
      <c r="E20" t="inlineStr"/>
    </row>
    <row r="21">
      <c r="A21" t="n">
        <v>265</v>
      </c>
      <c r="B21" t="str">
        <f>Productos!C265</f>
        <v>Combinado 9</v>
      </c>
      <c r="C21" s="2">
        <f>IF(Productos!D265="","",Productos!D265)</f>
        <v>9.5</v>
      </c>
      <c r="D21" s="2">
        <f>IF(Productos!E265="","",Productos!E265)</f>
        <v>9.7</v>
      </c>
      <c r="E21" t="inlineStr"/>
    </row>
    <row r="22">
      <c r="A22" t="n">
        <v>266</v>
      </c>
      <c r="B22" t="str">
        <f>Productos!C266</f>
        <v>Combinado especial 1 (chistorra)</v>
      </c>
      <c r="C22" s="2">
        <f>IF(Productos!D266="","",Productos!D266)</f>
        <v>9.15</v>
      </c>
      <c r="D22" s="2">
        <f>IF(Productos!E266="","",Productos!E266)</f>
        <v>9.35</v>
      </c>
      <c r="E22" t="inlineStr"/>
    </row>
    <row r="23">
      <c r="A23" t="n">
        <v>267</v>
      </c>
      <c r="B23" t="str">
        <f>Productos!C267</f>
        <v>Combinado especial 2 (entrecot)</v>
      </c>
      <c r="C23" s="2">
        <f>IF(Productos!D267="","",Productos!D267)</f>
        <v>16.95</v>
      </c>
      <c r="D23" s="2">
        <f>IF(Productos!E267="","",Productos!E267)</f>
        <v>17.15</v>
      </c>
      <c r="E23" t="inlineStr"/>
    </row>
    <row r="24">
      <c r="A24" t="n">
        <v>268</v>
      </c>
      <c r="B24" t="str">
        <f>Productos!C268</f>
        <v>Combinado especial 3 (churrasco)</v>
      </c>
      <c r="C24" s="2">
        <f>IF(Productos!D268="","",Productos!D268)</f>
        <v>7.95</v>
      </c>
      <c r="D24" s="2">
        <f>IF(Productos!E268="","",Productos!E268)</f>
        <v>8.15</v>
      </c>
      <c r="E24" t="inlineStr"/>
    </row>
    <row r="25">
      <c r="A25" t="n">
        <v>269</v>
      </c>
      <c r="B25" t="str">
        <f>Productos!C269</f>
        <v>Combinado especial 4 (sepia)</v>
      </c>
      <c r="C25" s="2">
        <f>IF(Productos!D269="","",Productos!D269)</f>
        <v>14.95</v>
      </c>
      <c r="D25" s="2">
        <f>IF(Productos!E269="","",Productos!E269)</f>
        <v>15.15</v>
      </c>
      <c r="E25" t="inlineStr"/>
    </row>
    <row r="26">
      <c r="A26" t="n">
        <v>270</v>
      </c>
      <c r="B26" t="str">
        <f>Productos!C270</f>
        <v>Combinado especial 5 (merluza)</v>
      </c>
      <c r="C26" s="2">
        <f>IF(Productos!D270="","",Productos!D270)</f>
        <v>7.95</v>
      </c>
      <c r="D26" s="2">
        <f>IF(Productos!E270="","",Productos!E270)</f>
        <v>8.15</v>
      </c>
      <c r="E26" t="inlineStr"/>
    </row>
    <row r="27">
      <c r="A27" t="n">
        <v>271</v>
      </c>
      <c r="B27" t="str">
        <f>Productos!C271</f>
        <v>Menú infantil</v>
      </c>
      <c r="C27" s="2">
        <f>IF(Productos!D271="","",Productos!D271)</f>
        <v>11.5</v>
      </c>
      <c r="D27" s="2">
        <f>IF(Productos!E271="","",Productos!E271)</f>
        <v>11.7</v>
      </c>
      <c r="E27" t="inlineStr"/>
    </row>
    <row r="28">
      <c r="A28" t="n">
        <v>272</v>
      </c>
      <c r="B28" t="str">
        <f>Productos!C272</f>
        <v>Menú IO</v>
      </c>
      <c r="C28" s="2">
        <f>IF(Productos!D272="","",Productos!D272)</f>
        <v>5.75</v>
      </c>
      <c r="D28" s="2">
        <f>IF(Productos!E272="","",Productos!E272)</f>
        <v>5.95</v>
      </c>
      <c r="E28" t="inlineStr"/>
    </row>
  </sheetData>
  <autoFilter ref="A1:E28"/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48" customWidth="1" min="2" max="2"/>
    <col width="13" customWidth="1" min="3" max="3"/>
    <col width="22" customWidth="1" min="4" max="4"/>
    <col width="62" customWidth="1" min="5" max="5"/>
  </cols>
  <sheetData>
    <row r="1">
      <c r="A1" s="1" t="inlineStr">
        <is>
          <t>Código</t>
        </is>
      </c>
      <c r="B1" s="1" t="inlineStr">
        <is>
          <t>Nombre</t>
        </is>
      </c>
      <c r="C1" s="1" t="inlineStr">
        <is>
          <t>Tarifa 1 (€)</t>
        </is>
      </c>
      <c r="D1" s="1" t="inlineStr">
        <is>
          <t>Tarifa 2 - Terraza (€)</t>
        </is>
      </c>
      <c r="E1" s="1" t="inlineStr">
        <is>
          <t>Nota</t>
        </is>
      </c>
    </row>
    <row r="2">
      <c r="A2" t="n">
        <v>273</v>
      </c>
      <c r="B2" t="str">
        <f>Productos!C273</f>
        <v>Tarta de whisky</v>
      </c>
      <c r="C2" s="2">
        <f>IF(Productos!D273="","",Productos!D273)</f>
        <v>4.55</v>
      </c>
      <c r="D2" s="2">
        <f>IF(Productos!E273="","",Productos!E273)</f>
        <v>4.75</v>
      </c>
      <c r="E2" t="inlineStr"/>
    </row>
    <row r="3">
      <c r="A3" t="n">
        <v>274</v>
      </c>
      <c r="B3" t="str">
        <f>Productos!C274</f>
        <v>Tarta dulce</v>
      </c>
      <c r="C3" s="2">
        <f>IF(Productos!D274="","",Productos!D274)</f>
        <v>4.55</v>
      </c>
      <c r="D3" s="2">
        <f>IF(Productos!E274="","",Productos!E274)</f>
        <v>4.75</v>
      </c>
      <c r="E3" t="inlineStr"/>
    </row>
    <row r="4">
      <c r="A4" t="n">
        <v>275</v>
      </c>
      <c r="B4" t="str">
        <f>Productos!C275</f>
        <v>Naranja o plátano</v>
      </c>
      <c r="C4" s="2">
        <f>IF(Productos!D275="","",Productos!D275)</f>
        <v>3.5</v>
      </c>
      <c r="D4" s="2">
        <f>IF(Productos!E275="","",Productos!E275)</f>
        <v>3.7</v>
      </c>
      <c r="E4" t="inlineStr"/>
    </row>
    <row r="5">
      <c r="A5" t="n">
        <v>276</v>
      </c>
      <c r="B5" t="str">
        <f>Productos!C276</f>
        <v>Tarta de queso</v>
      </c>
      <c r="C5" s="2">
        <f>IF(Productos!D276="","",Productos!D276)</f>
        <v>4.95</v>
      </c>
      <c r="D5" s="2">
        <f>IF(Productos!E276="","",Productos!E276)</f>
        <v>5.15</v>
      </c>
      <c r="E5" t="inlineStr"/>
    </row>
    <row r="6">
      <c r="A6" t="n">
        <v>277</v>
      </c>
      <c r="B6" t="str">
        <f>Productos!C277</f>
        <v>Arroz con leche</v>
      </c>
      <c r="C6" s="2">
        <f>IF(Productos!D277="","",Productos!D277)</f>
        <v>3.25</v>
      </c>
      <c r="D6" s="2">
        <f>IF(Productos!E277="","",Productos!E277)</f>
        <v>3.45</v>
      </c>
      <c r="E6" t="inlineStr"/>
    </row>
    <row r="7">
      <c r="A7" t="n">
        <v>278</v>
      </c>
      <c r="B7" t="str">
        <f>Productos!C278</f>
        <v>Yogur</v>
      </c>
      <c r="C7" s="2">
        <f>IF(Productos!D278="","",Productos!D278)</f>
        <v>1.95</v>
      </c>
      <c r="D7" s="2">
        <f>IF(Productos!E278="","",Productos!E278)</f>
        <v>2.15</v>
      </c>
      <c r="E7" t="inlineStr"/>
    </row>
    <row r="8">
      <c r="A8" t="n">
        <v>279</v>
      </c>
      <c r="B8" t="str">
        <f>Productos!C279</f>
        <v>Tarta brownie</v>
      </c>
      <c r="C8" s="2">
        <f>IF(Productos!D279="","",Productos!D279)</f>
        <v>3.55</v>
      </c>
      <c r="D8" s="2">
        <f>IF(Productos!E279="","",Productos!E279)</f>
        <v>3.75</v>
      </c>
      <c r="E8" t="inlineStr"/>
    </row>
    <row r="9">
      <c r="A9" t="n">
        <v>280</v>
      </c>
      <c r="B9" t="str">
        <f>Productos!C280</f>
        <v>Helado de la casa</v>
      </c>
      <c r="C9" s="2">
        <f>IF(Productos!D280="","",Productos!D280)</f>
        <v>4.55</v>
      </c>
      <c r="D9" s="2">
        <f>IF(Productos!E280="","",Productos!E280)</f>
        <v>4.75</v>
      </c>
      <c r="E9" t="inlineStr"/>
    </row>
    <row r="10">
      <c r="A10" t="n">
        <v>281</v>
      </c>
      <c r="B10" t="str">
        <f>Productos!C281</f>
        <v>Flan</v>
      </c>
      <c r="C10" s="2">
        <f>IF(Productos!D281="","",Productos!D281)</f>
        <v>3.45</v>
      </c>
      <c r="D10" s="2">
        <f>IF(Productos!E281="","",Productos!E281)</f>
        <v>3.65</v>
      </c>
      <c r="E10" t="inlineStr"/>
    </row>
    <row r="11">
      <c r="A11" t="n">
        <v>282</v>
      </c>
      <c r="B11" t="str">
        <f>Productos!C282</f>
        <v>Coulant de chocolate</v>
      </c>
      <c r="C11" s="2">
        <f>IF(Productos!D282="","",Productos!D282)</f>
        <v>3.55</v>
      </c>
      <c r="D11" s="2">
        <f>IF(Productos!E282="","",Productos!E282)</f>
        <v>3.75</v>
      </c>
      <c r="E11" t="inlineStr"/>
    </row>
    <row r="12">
      <c r="A12" t="n">
        <v>283</v>
      </c>
      <c r="B12" t="str">
        <f>Productos!C283</f>
        <v>Tarta de zanahoria</v>
      </c>
      <c r="C12" s="2">
        <f>IF(Productos!D283="","",Productos!D283)</f>
        <v>4.75</v>
      </c>
      <c r="D12" s="2">
        <f>IF(Productos!E283="","",Productos!E283)</f>
        <v>4.95</v>
      </c>
      <c r="E12" t="inlineStr"/>
    </row>
    <row r="13">
      <c r="A13" t="n">
        <v>285</v>
      </c>
      <c r="B13" t="str">
        <f>Productos!C284</f>
        <v>Cornetto de chocolate</v>
      </c>
      <c r="C13" s="2">
        <f>IF(Productos!D284="","",Productos!D284)</f>
        <v>2.95</v>
      </c>
      <c r="D13" s="2">
        <f>IF(Productos!E284="","",Productos!E284)</f>
        <v>3.15</v>
      </c>
      <c r="E13" t="inlineStr"/>
    </row>
    <row r="14">
      <c r="A14" t="n">
        <v>287</v>
      </c>
      <c r="B14" t="str">
        <f>Productos!C285</f>
        <v>Almendrado</v>
      </c>
      <c r="C14" s="2">
        <f>IF(Productos!D285="","",Productos!D285)</f>
        <v>3.25</v>
      </c>
      <c r="D14" s="2">
        <f>IF(Productos!E285="","",Productos!E285)</f>
        <v>3.45</v>
      </c>
      <c r="E14" t="inlineStr"/>
    </row>
  </sheetData>
  <autoFilter ref="A1:E14"/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E3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48" customWidth="1" min="2" max="2"/>
    <col width="13" customWidth="1" min="3" max="3"/>
    <col width="22" customWidth="1" min="4" max="4"/>
    <col width="62" customWidth="1" min="5" max="5"/>
  </cols>
  <sheetData>
    <row r="1">
      <c r="A1" s="1" t="inlineStr">
        <is>
          <t>Código</t>
        </is>
      </c>
      <c r="B1" s="1" t="inlineStr">
        <is>
          <t>Nombre</t>
        </is>
      </c>
      <c r="C1" s="1" t="inlineStr">
        <is>
          <t>Tarifa 1 (€)</t>
        </is>
      </c>
      <c r="D1" s="1" t="inlineStr">
        <is>
          <t>Tarifa 2 - Terraza (€)</t>
        </is>
      </c>
      <c r="E1" s="1" t="inlineStr">
        <is>
          <t>Nota</t>
        </is>
      </c>
    </row>
    <row r="2">
      <c r="A2" t="n">
        <v>288</v>
      </c>
      <c r="B2" t="str">
        <f>Productos!C286</f>
        <v>Coca-Cola</v>
      </c>
      <c r="C2" s="2">
        <f>IF(Productos!D286="","",Productos!D286)</f>
        <v>2.35</v>
      </c>
      <c r="D2" s="2">
        <f>IF(Productos!E286="","",Productos!E286)</f>
        <v>2.55</v>
      </c>
      <c r="E2" t="inlineStr"/>
    </row>
    <row r="3">
      <c r="A3" t="n">
        <v>289</v>
      </c>
      <c r="B3" t="str">
        <f>Productos!C287</f>
        <v>Fanta naranja</v>
      </c>
      <c r="C3" s="2">
        <f>IF(Productos!D287="","",Productos!D287)</f>
        <v>2.35</v>
      </c>
      <c r="D3" s="2">
        <f>IF(Productos!E287="","",Productos!E287)</f>
        <v>2.55</v>
      </c>
      <c r="E3" t="inlineStr"/>
    </row>
    <row r="4">
      <c r="A4" t="n">
        <v>290</v>
      </c>
      <c r="B4" t="str">
        <f>Productos!C288</f>
        <v>Fanta limón</v>
      </c>
      <c r="C4" s="2">
        <f>IF(Productos!D288="","",Productos!D288)</f>
        <v>2.35</v>
      </c>
      <c r="D4" s="2">
        <f>IF(Productos!E288="","",Productos!E288)</f>
        <v>2.55</v>
      </c>
      <c r="E4" t="inlineStr"/>
    </row>
    <row r="5">
      <c r="A5" t="n">
        <v>291</v>
      </c>
      <c r="B5" t="str">
        <f>Productos!C289</f>
        <v>Aquarius</v>
      </c>
      <c r="C5" s="2">
        <f>IF(Productos!D289="","",Productos!D289)</f>
        <v>2.35</v>
      </c>
      <c r="D5" s="2">
        <f>IF(Productos!E289="","",Productos!E289)</f>
        <v>2.55</v>
      </c>
      <c r="E5" t="inlineStr"/>
    </row>
    <row r="6">
      <c r="A6" t="n">
        <v>292</v>
      </c>
      <c r="B6" t="str">
        <f>Productos!C290</f>
        <v>Tónica</v>
      </c>
      <c r="C6" s="2">
        <f>IF(Productos!D290="","",Productos!D290)</f>
        <v>2.35</v>
      </c>
      <c r="D6" s="2">
        <f>IF(Productos!E290="","",Productos!E290)</f>
        <v>2.55</v>
      </c>
      <c r="E6" t="inlineStr"/>
    </row>
    <row r="7">
      <c r="A7" t="n">
        <v>293</v>
      </c>
      <c r="B7" t="str">
        <f>Productos!C291</f>
        <v>Trina limón</v>
      </c>
      <c r="C7" s="2">
        <f>IF(Productos!D291="","",Productos!D291)</f>
        <v>2.35</v>
      </c>
      <c r="D7" s="2">
        <f>IF(Productos!E291="","",Productos!E291)</f>
        <v>2.55</v>
      </c>
      <c r="E7" t="inlineStr"/>
    </row>
    <row r="8">
      <c r="A8" s="3" t="n">
        <v>294</v>
      </c>
      <c r="B8" s="3" t="str">
        <f>Productos!C292</f>
        <v>Aquarius naranja</v>
      </c>
      <c r="C8" s="4">
        <f>IF(Productos!D292="","",Productos!D292)</f>
        <v>2.35</v>
      </c>
      <c r="D8" s="4">
        <f>IF(Productos!E292="","",Productos!E292)</f>
        <v>2.55</v>
      </c>
      <c r="E8" s="3" t="inlineStr">
        <is>
          <t>Revisar: aparece más de una vez con precios distintos</t>
        </is>
      </c>
    </row>
    <row r="9">
      <c r="A9" t="n">
        <v>295</v>
      </c>
      <c r="B9" t="str">
        <f>Productos!C293</f>
        <v>Vichy Catalán</v>
      </c>
      <c r="C9" s="2">
        <f>IF(Productos!D293="","",Productos!D293)</f>
        <v>2.35</v>
      </c>
      <c r="D9" s="2">
        <f>IF(Productos!E293="","",Productos!E293)</f>
        <v>2.55</v>
      </c>
      <c r="E9" t="inlineStr"/>
    </row>
    <row r="10">
      <c r="A10" t="n">
        <v>296</v>
      </c>
      <c r="B10" t="str">
        <f>Productos!C294</f>
        <v>Zumo de melocotón</v>
      </c>
      <c r="C10" s="2">
        <f>IF(Productos!D294="","",Productos!D294)</f>
        <v>2.35</v>
      </c>
      <c r="D10" s="2">
        <f>IF(Productos!E294="","",Productos!E294)</f>
        <v>2.55</v>
      </c>
      <c r="E10" t="inlineStr"/>
    </row>
    <row r="11">
      <c r="A11" t="n">
        <v>297</v>
      </c>
      <c r="B11" t="str">
        <f>Productos!C295</f>
        <v>Zumo de naranja</v>
      </c>
      <c r="C11" s="2">
        <f>IF(Productos!D295="","",Productos!D295)</f>
        <v>2.35</v>
      </c>
      <c r="D11" s="2">
        <f>IF(Productos!E295="","",Productos!E295)</f>
        <v>2.55</v>
      </c>
      <c r="E11" t="inlineStr"/>
    </row>
    <row r="12">
      <c r="A12" t="n">
        <v>298</v>
      </c>
      <c r="B12" t="str">
        <f>Productos!C296</f>
        <v>Zumo de naranja natural</v>
      </c>
      <c r="C12" s="2">
        <f>IF(Productos!D296="","",Productos!D296)</f>
        <v>3.15</v>
      </c>
      <c r="D12" s="2">
        <f>IF(Productos!E296="","",Productos!E296)</f>
        <v>3.35</v>
      </c>
      <c r="E12" t="inlineStr"/>
    </row>
    <row r="13">
      <c r="A13" t="n">
        <v>299</v>
      </c>
      <c r="B13" t="str">
        <f>Productos!C297</f>
        <v>Zumo de piña</v>
      </c>
      <c r="C13" s="2">
        <f>IF(Productos!D297="","",Productos!D297)</f>
        <v>2.35</v>
      </c>
      <c r="D13" s="2">
        <f>IF(Productos!E297="","",Productos!E297)</f>
        <v>2.55</v>
      </c>
      <c r="E13" t="inlineStr"/>
    </row>
    <row r="14">
      <c r="A14" t="n">
        <v>300</v>
      </c>
      <c r="B14" t="str">
        <f>Productos!C298</f>
        <v>Coca-Cola Zero</v>
      </c>
      <c r="C14" s="2">
        <f>IF(Productos!D298="","",Productos!D298)</f>
        <v>2.35</v>
      </c>
      <c r="D14" s="2">
        <f>IF(Productos!E298="","",Productos!E298)</f>
        <v>2.55</v>
      </c>
      <c r="E14" t="inlineStr"/>
    </row>
    <row r="15">
      <c r="A15" t="n">
        <v>301</v>
      </c>
      <c r="B15" t="str">
        <f>Productos!C299</f>
        <v>Cacaolat</v>
      </c>
      <c r="C15" s="2">
        <f>IF(Productos!D299="","",Productos!D299)</f>
        <v>2.35</v>
      </c>
      <c r="D15" s="2">
        <f>IF(Productos!E299="","",Productos!E299)</f>
        <v>2.55</v>
      </c>
      <c r="E15" t="inlineStr"/>
    </row>
    <row r="16">
      <c r="A16" t="n">
        <v>302</v>
      </c>
      <c r="B16" t="str">
        <f>Productos!C300</f>
        <v>Red Bull</v>
      </c>
      <c r="C16" s="2">
        <f>IF(Productos!D300="","",Productos!D300)</f>
        <v>2.95</v>
      </c>
      <c r="D16" s="2">
        <f>IF(Productos!E300="","",Productos!E300)</f>
        <v>3.15</v>
      </c>
      <c r="E16" t="inlineStr"/>
    </row>
    <row r="17">
      <c r="A17" t="n">
        <v>303</v>
      </c>
      <c r="B17" t="str">
        <f>Productos!C301</f>
        <v>Bolsa</v>
      </c>
      <c r="C17" s="2">
        <f>IF(Productos!D301="","",Productos!D301)</f>
        <v>0.15</v>
      </c>
      <c r="D17" s="2">
        <f>IF(Productos!E301="","",Productos!E301)</f>
        <v>0.35</v>
      </c>
      <c r="E17" t="inlineStr"/>
    </row>
    <row r="18">
      <c r="A18" t="n">
        <v>304</v>
      </c>
      <c r="B18" t="str">
        <f>Productos!C302</f>
        <v>Bitter Kas</v>
      </c>
      <c r="C18" s="2">
        <f>IF(Productos!D302="","",Productos!D302)</f>
        <v>2.35</v>
      </c>
      <c r="D18" s="2">
        <f>IF(Productos!E302="","",Productos!E302)</f>
        <v>2.55</v>
      </c>
      <c r="E18" t="inlineStr"/>
    </row>
    <row r="19">
      <c r="A19" t="n">
        <v>305</v>
      </c>
      <c r="B19" t="str">
        <f>Productos!C303</f>
        <v>Agua 1 L</v>
      </c>
      <c r="C19" s="2">
        <f>IF(Productos!D303="","",Productos!D303)</f>
        <v>2.55</v>
      </c>
      <c r="D19" s="2">
        <f>IF(Productos!E303="","",Productos!E303)</f>
        <v>2.75</v>
      </c>
      <c r="E19" t="inlineStr"/>
    </row>
    <row r="20">
      <c r="A20" t="n">
        <v>306</v>
      </c>
      <c r="B20" t="str">
        <f>Productos!C304</f>
        <v>Agua 1/2 L</v>
      </c>
      <c r="C20" s="2">
        <f>IF(Productos!D304="","",Productos!D304)</f>
        <v>1.45</v>
      </c>
      <c r="D20" s="2">
        <f>IF(Productos!E304="","",Productos!E304)</f>
        <v>1.65</v>
      </c>
      <c r="E20" t="inlineStr"/>
    </row>
    <row r="21">
      <c r="A21" t="n">
        <v>307</v>
      </c>
      <c r="B21" t="str">
        <f>Productos!C305</f>
        <v>Coca-Cola sin cafeína</v>
      </c>
      <c r="C21" s="2">
        <f>IF(Productos!D305="","",Productos!D305)</f>
        <v>2.35</v>
      </c>
      <c r="D21" s="2">
        <f>IF(Productos!E305="","",Productos!E305)</f>
        <v>2.55</v>
      </c>
      <c r="E21" t="inlineStr"/>
    </row>
    <row r="22">
      <c r="A22" t="n">
        <v>308</v>
      </c>
      <c r="B22" t="str">
        <f>Productos!C306</f>
        <v>Maracuyá</v>
      </c>
      <c r="C22" s="2">
        <f>IF(Productos!D306="","",Productos!D306)</f>
        <v>2.35</v>
      </c>
      <c r="D22" s="2">
        <f>IF(Productos!E306="","",Productos!E306)</f>
        <v>2.55</v>
      </c>
      <c r="E22" t="inlineStr"/>
    </row>
    <row r="23">
      <c r="A23" t="n">
        <v>309</v>
      </c>
      <c r="B23" t="str">
        <f>Productos!C307</f>
        <v>Nestea</v>
      </c>
      <c r="C23" s="2">
        <f>IF(Productos!D307="","",Productos!D307)</f>
        <v>2.35</v>
      </c>
      <c r="D23" s="2">
        <f>IF(Productos!E307="","",Productos!E307)</f>
        <v>2.55</v>
      </c>
      <c r="E23" t="inlineStr"/>
    </row>
    <row r="24">
      <c r="A24" t="n">
        <v>310</v>
      </c>
      <c r="B24" t="str">
        <f>Productos!C308</f>
        <v>Sin limón</v>
      </c>
      <c r="C24" s="2" t="str">
        <f>IF(Productos!D308="","",Productos!D308)</f>
        <v/>
      </c>
      <c r="D24" s="2" t="str">
        <f>IF(Productos!E308="","",Productos!E308)</f>
        <v/>
      </c>
      <c r="E24" t="inlineStr">
        <is>
          <t>Sin precio en la tarifa</t>
        </is>
      </c>
    </row>
    <row r="25">
      <c r="A25" t="n">
        <v>311</v>
      </c>
      <c r="B25" t="str">
        <f>Productos!C309</f>
        <v>Sin hielo</v>
      </c>
      <c r="C25" s="2" t="str">
        <f>IF(Productos!D309="","",Productos!D309)</f>
        <v/>
      </c>
      <c r="D25" s="2" t="str">
        <f>IF(Productos!E309="","",Productos!E309)</f>
        <v/>
      </c>
      <c r="E25" t="inlineStr">
        <is>
          <t>Sin precio en la tarifa</t>
        </is>
      </c>
    </row>
    <row r="26">
      <c r="A26" t="n">
        <v>312</v>
      </c>
      <c r="B26" t="str">
        <f>Productos!C310</f>
        <v>Vaso</v>
      </c>
      <c r="C26" s="2" t="str">
        <f>IF(Productos!D310="","",Productos!D310)</f>
        <v/>
      </c>
      <c r="D26" s="2" t="str">
        <f>IF(Productos!E310="","",Productos!E310)</f>
        <v/>
      </c>
      <c r="E26" t="inlineStr">
        <is>
          <t>Sin precio en la tarifa</t>
        </is>
      </c>
    </row>
    <row r="27">
      <c r="A27" t="n">
        <v>313</v>
      </c>
      <c r="B27" t="str">
        <f>Productos!C311</f>
        <v>Hielo</v>
      </c>
      <c r="C27" s="2" t="str">
        <f>IF(Productos!D311="","",Productos!D311)</f>
        <v/>
      </c>
      <c r="D27" s="2" t="str">
        <f>IF(Productos!E311="","",Productos!E311)</f>
        <v/>
      </c>
      <c r="E27" t="inlineStr">
        <is>
          <t>Sin precio en la tarifa</t>
        </is>
      </c>
    </row>
    <row r="28">
      <c r="A28" t="n">
        <v>314</v>
      </c>
      <c r="B28" t="str">
        <f>Productos!C312</f>
        <v>Agua grande</v>
      </c>
      <c r="C28" s="2">
        <f>IF(Productos!D312="","",Productos!D312)</f>
        <v>2.05</v>
      </c>
      <c r="D28" s="2">
        <f>IF(Productos!E312="","",Productos!E312)</f>
        <v>2.25</v>
      </c>
      <c r="E28" t="inlineStr"/>
    </row>
    <row r="29">
      <c r="A29" t="n">
        <v>315</v>
      </c>
      <c r="B29" t="str">
        <f>Productos!C313</f>
        <v>Coca-Cola 200 ml</v>
      </c>
      <c r="C29" s="2">
        <f>IF(Productos!D313="","",Productos!D313)</f>
        <v>2.35</v>
      </c>
      <c r="D29" s="2">
        <f>IF(Productos!E313="","",Productos!E313)</f>
        <v>2.55</v>
      </c>
      <c r="E29" t="inlineStr"/>
    </row>
    <row r="30">
      <c r="A30" t="n">
        <v>316</v>
      </c>
      <c r="B30" t="str">
        <f>Productos!C314</f>
        <v>Coca-Cola Light</v>
      </c>
      <c r="C30" s="2">
        <f>IF(Productos!D314="","",Productos!D314)</f>
        <v>2.05</v>
      </c>
      <c r="D30" s="2">
        <f>IF(Productos!E314="","",Productos!E314)</f>
        <v>2.25</v>
      </c>
      <c r="E30" t="inlineStr"/>
    </row>
    <row r="31">
      <c r="A31" t="n">
        <v>317</v>
      </c>
      <c r="B31" t="str">
        <f>Productos!C315</f>
        <v>Cola Cao</v>
      </c>
      <c r="C31" s="2">
        <f>IF(Productos!D315="","",Productos!D315)</f>
        <v>2.6</v>
      </c>
      <c r="D31" s="2">
        <f>IF(Productos!E315="","",Productos!E315)</f>
        <v>2.8</v>
      </c>
      <c r="E31" t="inlineStr"/>
    </row>
    <row r="32">
      <c r="A32" t="n">
        <v>318</v>
      </c>
      <c r="B32" t="str">
        <f>Productos!C316</f>
        <v>Agua natural pequeña</v>
      </c>
      <c r="C32" s="2">
        <f>IF(Productos!D316="","",Productos!D316)</f>
        <v>1.45</v>
      </c>
      <c r="D32" s="2">
        <f>IF(Productos!E316="","",Productos!E316)</f>
        <v>1.65</v>
      </c>
      <c r="E32" t="inlineStr"/>
    </row>
    <row r="33">
      <c r="A33" t="n">
        <v>319</v>
      </c>
      <c r="B33" t="str">
        <f>Productos!C317</f>
        <v>Mucho hielo</v>
      </c>
      <c r="C33" s="2">
        <f>IF(Productos!D317="","",Productos!D317)</f>
        <v>0.35</v>
      </c>
      <c r="D33" s="2">
        <f>IF(Productos!E317="","",Productos!E317)</f>
        <v>0.55</v>
      </c>
      <c r="E33" t="inlineStr"/>
    </row>
    <row r="34">
      <c r="A34" t="n">
        <v>320</v>
      </c>
      <c r="B34" t="str">
        <f>Productos!C318</f>
        <v>Caliente</v>
      </c>
      <c r="C34" s="2">
        <f>IF(Productos!D318="","",Productos!D318)</f>
        <v>0.1</v>
      </c>
      <c r="D34" s="2">
        <f>IF(Productos!E318="","",Productos!E318)</f>
        <v>0.3</v>
      </c>
      <c r="E34" t="inlineStr"/>
    </row>
    <row r="35">
      <c r="A35" t="n">
        <v>321</v>
      </c>
      <c r="B35" t="str">
        <f>Productos!C319</f>
        <v>Olivas de la casa</v>
      </c>
      <c r="C35" s="2">
        <f>IF(Productos!D319="","",Productos!D319)</f>
        <v>0.1</v>
      </c>
      <c r="D35" s="2">
        <f>IF(Productos!E319="","",Productos!E319)</f>
        <v>0.3</v>
      </c>
      <c r="E35" t="inlineStr"/>
    </row>
    <row r="36">
      <c r="A36" t="n">
        <v>322</v>
      </c>
      <c r="B36" t="str">
        <f>Productos!C320</f>
        <v>Kikos de la casa</v>
      </c>
      <c r="C36" s="2">
        <f>IF(Productos!D320="","",Productos!D320)</f>
        <v>0.1</v>
      </c>
      <c r="D36" s="2">
        <f>IF(Productos!E320="","",Productos!E320)</f>
        <v>0.3</v>
      </c>
      <c r="E36" t="inlineStr"/>
    </row>
    <row r="37">
      <c r="A37" s="3" t="n">
        <v>323</v>
      </c>
      <c r="B37" s="3" t="str">
        <f>Productos!C321</f>
        <v>Aquarius naranja</v>
      </c>
      <c r="C37" s="4">
        <f>IF(Productos!D321="","",Productos!D321)</f>
        <v>2.05</v>
      </c>
      <c r="D37" s="4">
        <f>IF(Productos!E321="","",Productos!E321)</f>
        <v>2.25</v>
      </c>
      <c r="E37" s="3" t="inlineStr">
        <is>
          <t>Revisar: aparece más de una vez con precios distintos</t>
        </is>
      </c>
    </row>
  </sheetData>
  <autoFilter ref="A1:E37"/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E3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48" customWidth="1" min="2" max="2"/>
    <col width="13" customWidth="1" min="3" max="3"/>
    <col width="22" customWidth="1" min="4" max="4"/>
    <col width="62" customWidth="1" min="5" max="5"/>
  </cols>
  <sheetData>
    <row r="1">
      <c r="A1" s="1" t="inlineStr">
        <is>
          <t>Código</t>
        </is>
      </c>
      <c r="B1" s="1" t="inlineStr">
        <is>
          <t>Nombre</t>
        </is>
      </c>
      <c r="C1" s="1" t="inlineStr">
        <is>
          <t>Tarifa 1 (€)</t>
        </is>
      </c>
      <c r="D1" s="1" t="inlineStr">
        <is>
          <t>Tarifa 2 - Terraza (€)</t>
        </is>
      </c>
      <c r="E1" s="1" t="inlineStr">
        <is>
          <t>Nota</t>
        </is>
      </c>
    </row>
    <row r="2">
      <c r="A2" t="n">
        <v>324</v>
      </c>
      <c r="B2" t="str">
        <f>Productos!C322</f>
        <v>Bravas bravas bravas</v>
      </c>
      <c r="C2" s="2">
        <f>IF(Productos!D322="","",Productos!D322)</f>
        <v>6.7</v>
      </c>
      <c r="D2" s="2">
        <f>IF(Productos!E322="","",Productos!E322)</f>
        <v>6.9</v>
      </c>
      <c r="E2" t="inlineStr"/>
    </row>
    <row r="3">
      <c r="A3" t="n">
        <v>325</v>
      </c>
      <c r="B3" t="str">
        <f>Productos!C323</f>
        <v>Tapa de chocos</v>
      </c>
      <c r="C3" s="2">
        <f>IF(Productos!D323="","",Productos!D323)</f>
        <v>11.5</v>
      </c>
      <c r="D3" s="2">
        <f>IF(Productos!E323="","",Productos!E323)</f>
        <v>11.7</v>
      </c>
      <c r="E3" t="inlineStr"/>
    </row>
    <row r="4">
      <c r="A4" t="n">
        <v>326</v>
      </c>
      <c r="B4" t="str">
        <f>Productos!C324</f>
        <v>Berenjena</v>
      </c>
      <c r="C4" s="2">
        <f>IF(Productos!D324="","",Productos!D324)</f>
        <v>7.95</v>
      </c>
      <c r="D4" s="2">
        <f>IF(Productos!E324="","",Productos!E324)</f>
        <v>8.15</v>
      </c>
      <c r="E4" t="inlineStr"/>
    </row>
    <row r="5">
      <c r="A5" t="n">
        <v>327</v>
      </c>
      <c r="B5" t="str">
        <f>Productos!C325</f>
        <v>Tapa de puntillas</v>
      </c>
      <c r="C5" s="2">
        <f>IF(Productos!D325="","",Productos!D325)</f>
        <v>11.5</v>
      </c>
      <c r="D5" s="2">
        <f>IF(Productos!E325="","",Productos!E325)</f>
        <v>11.7</v>
      </c>
      <c r="E5" t="inlineStr"/>
    </row>
    <row r="6">
      <c r="A6" t="n">
        <v>328</v>
      </c>
      <c r="B6" t="str">
        <f>Productos!C326</f>
        <v>Tapa de pinchos</v>
      </c>
      <c r="C6" s="2">
        <f>IF(Productos!D326="","",Productos!D326)</f>
        <v>9.7</v>
      </c>
      <c r="D6" s="2">
        <f>IF(Productos!E326="","",Productos!E326)</f>
        <v>9.9</v>
      </c>
      <c r="E6" t="inlineStr"/>
    </row>
    <row r="7">
      <c r="A7" t="n">
        <v>329</v>
      </c>
      <c r="B7" t="str">
        <f>Productos!C327</f>
        <v>Tapa de patatas fritas</v>
      </c>
      <c r="C7" s="2">
        <f>IF(Productos!D327="","",Productos!D327)</f>
        <v>3.9</v>
      </c>
      <c r="D7" s="2">
        <f>IF(Productos!E327="","",Productos!E327)</f>
        <v>4.1</v>
      </c>
      <c r="E7" t="inlineStr"/>
    </row>
    <row r="8">
      <c r="A8" t="n">
        <v>330</v>
      </c>
      <c r="B8" t="str">
        <f>Productos!C328</f>
        <v>Tapa de croquetas</v>
      </c>
      <c r="C8" s="2">
        <f>IF(Productos!D328="","",Productos!D328)</f>
        <v>7.6</v>
      </c>
      <c r="D8" s="2">
        <f>IF(Productos!E328="","",Productos!E328)</f>
        <v>7.8</v>
      </c>
      <c r="E8" t="inlineStr"/>
    </row>
    <row r="9">
      <c r="A9" t="n">
        <v>331</v>
      </c>
      <c r="B9" t="str">
        <f>Productos!C329</f>
        <v>Nuggets</v>
      </c>
      <c r="C9" s="2">
        <f>IF(Productos!D329="","",Productos!D329)</f>
        <v>7.5</v>
      </c>
      <c r="D9" s="2">
        <f>IF(Productos!E329="","",Productos!E329)</f>
        <v>7.7</v>
      </c>
      <c r="E9" t="inlineStr"/>
    </row>
    <row r="10">
      <c r="A10" t="n">
        <v>332</v>
      </c>
      <c r="B10" t="str">
        <f>Productos!C330</f>
        <v>Limón</v>
      </c>
      <c r="C10" s="2" t="str">
        <f>IF(Productos!D330="","",Productos!D330)</f>
        <v/>
      </c>
      <c r="D10" s="2" t="str">
        <f>IF(Productos!E330="","",Productos!E330)</f>
        <v/>
      </c>
      <c r="E10" t="inlineStr">
        <is>
          <t>Sin precio en la tarifa</t>
        </is>
      </c>
    </row>
    <row r="11">
      <c r="A11" t="n">
        <v>333</v>
      </c>
      <c r="B11" t="str">
        <f>Productos!C331</f>
        <v>Tapa de calamares a la andaluza</v>
      </c>
      <c r="C11" s="2">
        <f>IF(Productos!D331="","",Productos!D331)</f>
        <v>8.5</v>
      </c>
      <c r="D11" s="2">
        <f>IF(Productos!E331="","",Productos!E331)</f>
        <v>8.7</v>
      </c>
      <c r="E11" t="inlineStr"/>
    </row>
    <row r="12">
      <c r="A12" t="n">
        <v>334</v>
      </c>
      <c r="B12" t="str">
        <f>Productos!C332</f>
        <v>Tapa de alitas de pollo</v>
      </c>
      <c r="C12" s="2">
        <f>IF(Productos!D332="","",Productos!D332)</f>
        <v>7.95</v>
      </c>
      <c r="D12" s="2">
        <f>IF(Productos!E332="","",Productos!E332)</f>
        <v>8.15</v>
      </c>
      <c r="E12" t="inlineStr"/>
    </row>
    <row r="13">
      <c r="A13" t="n">
        <v>335</v>
      </c>
      <c r="B13" t="str">
        <f>Productos!C333</f>
        <v>Alcachofas chips</v>
      </c>
      <c r="C13" s="2">
        <f>IF(Productos!D333="","",Productos!D333)</f>
        <v>9.7</v>
      </c>
      <c r="D13" s="2">
        <f>IF(Productos!E333="","",Productos!E333)</f>
        <v>9.9</v>
      </c>
      <c r="E13" t="inlineStr"/>
    </row>
    <row r="14">
      <c r="A14" t="n">
        <v>336</v>
      </c>
      <c r="B14" t="str">
        <f>Productos!C334</f>
        <v>Rodaja con tomate</v>
      </c>
      <c r="C14" s="2">
        <f>IF(Productos!D334="","",Productos!D334)</f>
        <v>1.95</v>
      </c>
      <c r="D14" s="2">
        <f>IF(Productos!E334="","",Productos!E334)</f>
        <v>2.15</v>
      </c>
      <c r="E14" t="inlineStr"/>
    </row>
    <row r="15">
      <c r="A15" t="n">
        <v>337</v>
      </c>
      <c r="B15" t="str">
        <f>Productos!C335</f>
        <v>Tapa de tiras de pollo</v>
      </c>
      <c r="C15" s="2">
        <f>IF(Productos!D335="","",Productos!D335)</f>
        <v>8.35</v>
      </c>
      <c r="D15" s="2">
        <f>IF(Productos!E335="","",Productos!E335)</f>
        <v>8.55</v>
      </c>
      <c r="E15" t="inlineStr"/>
    </row>
    <row r="16">
      <c r="A16" t="n">
        <v>338</v>
      </c>
      <c r="B16" t="str">
        <f>Productos!C336</f>
        <v>Rabas de calamar</v>
      </c>
      <c r="C16" s="2">
        <f>IF(Productos!D336="","",Productos!D336)</f>
        <v>6.95</v>
      </c>
      <c r="D16" s="2">
        <f>IF(Productos!E336="","",Productos!E336)</f>
        <v>7.15</v>
      </c>
      <c r="E16" t="inlineStr"/>
    </row>
    <row r="17">
      <c r="A17" t="n">
        <v>339</v>
      </c>
      <c r="B17" t="str">
        <f>Productos!C337</f>
        <v>Tenedor tapas</v>
      </c>
      <c r="C17" s="2" t="str">
        <f>IF(Productos!D337="","",Productos!D337)</f>
        <v/>
      </c>
      <c r="D17" s="2" t="str">
        <f>IF(Productos!E337="","",Productos!E337)</f>
        <v/>
      </c>
      <c r="E17" t="inlineStr">
        <is>
          <t>Sin precio en la tarifa</t>
        </is>
      </c>
    </row>
    <row r="18">
      <c r="A18" t="n">
        <v>340</v>
      </c>
      <c r="B18" t="str">
        <f>Productos!C338</f>
        <v>Ensaladilla rusa</v>
      </c>
      <c r="C18" s="2">
        <f>IF(Productos!D338="","",Productos!D338)</f>
        <v>4.75</v>
      </c>
      <c r="D18" s="2">
        <f>IF(Productos!E338="","",Productos!E338)</f>
        <v>4.95</v>
      </c>
      <c r="E18" t="inlineStr"/>
    </row>
    <row r="19">
      <c r="A19" t="n">
        <v>341</v>
      </c>
      <c r="B19" t="str">
        <f>Productos!C339</f>
        <v>Albóndigas en salsa</v>
      </c>
      <c r="C19" s="2">
        <f>IF(Productos!D339="","",Productos!D339)</f>
        <v>4.25</v>
      </c>
      <c r="D19" s="2">
        <f>IF(Productos!E339="","",Productos!E339)</f>
        <v>4.45</v>
      </c>
      <c r="E19" t="inlineStr"/>
    </row>
    <row r="20">
      <c r="A20" t="n">
        <v>342</v>
      </c>
      <c r="B20" t="str">
        <f>Productos!C340</f>
        <v>Tortilla de patata con cebolla</v>
      </c>
      <c r="C20" s="2">
        <f>IF(Productos!D340="","",Productos!D340)</f>
        <v>9.5</v>
      </c>
      <c r="D20" s="2">
        <f>IF(Productos!E340="","",Productos!E340)</f>
        <v>9.7</v>
      </c>
      <c r="E20" t="inlineStr"/>
    </row>
    <row r="21">
      <c r="A21" t="n">
        <v>343</v>
      </c>
      <c r="B21" t="str">
        <f>Productos!C341</f>
        <v>Patata bomba</v>
      </c>
      <c r="C21" s="2">
        <f>IF(Productos!D341="","",Productos!D341)</f>
        <v>4.35</v>
      </c>
      <c r="D21" s="2">
        <f>IF(Productos!E341="","",Productos!E341)</f>
        <v>4.55</v>
      </c>
      <c r="E21" t="inlineStr"/>
    </row>
    <row r="22">
      <c r="A22" t="n">
        <v>344</v>
      </c>
      <c r="B22" t="str">
        <f>Productos!C342</f>
        <v>Media de bravas</v>
      </c>
      <c r="C22" s="2">
        <f>IF(Productos!D342="","",Productos!D342)</f>
        <v>3.95</v>
      </c>
      <c r="D22" s="2">
        <f>IF(Productos!E342="","",Productos!E342)</f>
        <v>4.15</v>
      </c>
      <c r="E22" t="inlineStr"/>
    </row>
    <row r="23">
      <c r="A23" t="n">
        <v>345</v>
      </c>
      <c r="B23" t="str">
        <f>Productos!C343</f>
        <v>Media de chocos</v>
      </c>
      <c r="C23" s="2">
        <f>IF(Productos!D343="","",Productos!D343)</f>
        <v>5</v>
      </c>
      <c r="D23" s="2">
        <f>IF(Productos!E343="","",Productos!E343)</f>
        <v>5.2</v>
      </c>
      <c r="E23" t="inlineStr"/>
    </row>
    <row r="24">
      <c r="A24" t="n">
        <v>346</v>
      </c>
      <c r="B24" t="str">
        <f>Productos!C344</f>
        <v>Rodaja de pan</v>
      </c>
      <c r="C24" s="2">
        <f>IF(Productos!D344="","",Productos!D344)</f>
        <v>1.35</v>
      </c>
      <c r="D24" s="2">
        <f>IF(Productos!E344="","",Productos!E344)</f>
        <v>1.55</v>
      </c>
      <c r="E24" t="inlineStr"/>
    </row>
    <row r="25">
      <c r="A25" t="n">
        <v>347</v>
      </c>
      <c r="B25" t="str">
        <f>Productos!C345</f>
        <v>Pulpo Els Tr3s</v>
      </c>
      <c r="C25" s="2">
        <f>IF(Productos!D345="","",Productos!D345)</f>
        <v>15</v>
      </c>
      <c r="D25" s="2">
        <f>IF(Productos!E345="","",Productos!E345)</f>
        <v>15.2</v>
      </c>
      <c r="E25" t="inlineStr"/>
    </row>
    <row r="26">
      <c r="A26" t="n">
        <v>348</v>
      </c>
      <c r="B26" t="str">
        <f>Productos!C346</f>
        <v>Huevo al plato</v>
      </c>
      <c r="C26" s="2">
        <f>IF(Productos!D346="","",Productos!D346)</f>
        <v>1.5</v>
      </c>
      <c r="D26" s="2">
        <f>IF(Productos!E346="","",Productos!E346)</f>
        <v>1.7</v>
      </c>
      <c r="E26" t="inlineStr"/>
    </row>
    <row r="27">
      <c r="A27" t="n">
        <v>349</v>
      </c>
      <c r="B27" t="str">
        <f>Productos!C347</f>
        <v>Tapa de queso semicurado</v>
      </c>
      <c r="C27" s="2">
        <f>IF(Productos!D347="","",Productos!D347)</f>
        <v>5.25</v>
      </c>
      <c r="D27" s="2">
        <f>IF(Productos!E347="","",Productos!E347)</f>
        <v>5.45</v>
      </c>
      <c r="E27" t="inlineStr"/>
    </row>
    <row r="28">
      <c r="A28" t="n">
        <v>350</v>
      </c>
      <c r="B28" t="str">
        <f>Productos!C348</f>
        <v>Escupiñas</v>
      </c>
      <c r="C28" s="2">
        <f>IF(Productos!D348="","",Productos!D348)</f>
        <v>9.85</v>
      </c>
      <c r="D28" s="2">
        <f>IF(Productos!E348="","",Productos!E348)</f>
        <v>10.05</v>
      </c>
      <c r="E28" t="inlineStr"/>
    </row>
    <row r="29">
      <c r="A29" t="n">
        <v>351</v>
      </c>
      <c r="B29" t="str">
        <f>Productos!C349</f>
        <v>Anchoas de L'Escala</v>
      </c>
      <c r="C29" s="2">
        <f>IF(Productos!D349="","",Productos!D349)</f>
        <v>7.25</v>
      </c>
      <c r="D29" s="2">
        <f>IF(Productos!E349="","",Productos!E349)</f>
        <v>7.45</v>
      </c>
      <c r="E29" t="inlineStr"/>
    </row>
    <row r="30">
      <c r="A30" t="n">
        <v>352</v>
      </c>
      <c r="B30" t="str">
        <f>Productos!C350</f>
        <v>Boquerones en vinagre</v>
      </c>
      <c r="C30" s="2">
        <f>IF(Productos!D350="","",Productos!D350)</f>
        <v>7.25</v>
      </c>
      <c r="D30" s="2">
        <f>IF(Productos!E350="","",Productos!E350)</f>
        <v>7.45</v>
      </c>
      <c r="E30" t="inlineStr"/>
    </row>
    <row r="31">
      <c r="A31" t="n">
        <v>353</v>
      </c>
      <c r="B31" t="str">
        <f>Productos!C351</f>
        <v>Tapa de mejillones en escabeche</v>
      </c>
      <c r="C31" s="2" t="str">
        <f>IF(Productos!D351="","",Productos!D351)</f>
        <v/>
      </c>
      <c r="D31" s="2" t="str">
        <f>IF(Productos!E351="","",Productos!E351)</f>
        <v/>
      </c>
      <c r="E31" t="inlineStr">
        <is>
          <t>Sin precio en la tarifa</t>
        </is>
      </c>
    </row>
    <row r="32">
      <c r="A32" t="n">
        <v>354</v>
      </c>
      <c r="B32" t="str">
        <f>Productos!C352</f>
        <v>Longaniza (tapa)</v>
      </c>
      <c r="C32" s="2">
        <f>IF(Productos!D352="","",Productos!D352)</f>
        <v>5.5</v>
      </c>
      <c r="D32" s="2">
        <f>IF(Productos!E352="","",Productos!E352)</f>
        <v>5.7</v>
      </c>
      <c r="E32" t="inlineStr"/>
    </row>
    <row r="33">
      <c r="A33" t="n">
        <v>355</v>
      </c>
      <c r="B33" t="str">
        <f>Productos!C353</f>
        <v>Olivas rellenas</v>
      </c>
      <c r="C33" s="2">
        <f>IF(Productos!D353="","",Productos!D353)</f>
        <v>2.95</v>
      </c>
      <c r="D33" s="2">
        <f>IF(Productos!E353="","",Productos!E353)</f>
        <v>3.15</v>
      </c>
      <c r="E33" t="inlineStr"/>
    </row>
    <row r="34">
      <c r="A34" t="n">
        <v>356</v>
      </c>
      <c r="B34" t="str">
        <f>Productos!C354</f>
        <v>Patatas chips</v>
      </c>
      <c r="C34" s="2">
        <f>IF(Productos!D354="","",Productos!D354)</f>
        <v>1.55</v>
      </c>
      <c r="D34" s="2">
        <f>IF(Productos!E354="","",Productos!E354)</f>
        <v>1.75</v>
      </c>
      <c r="E34" t="inlineStr"/>
    </row>
    <row r="35">
      <c r="A35" t="n">
        <v>357</v>
      </c>
      <c r="B35" t="str">
        <f>Productos!C355</f>
        <v>Tapa de queso manchego</v>
      </c>
      <c r="C35" s="2">
        <f>IF(Productos!D355="","",Productos!D355)</f>
        <v>7.75</v>
      </c>
      <c r="D35" s="2">
        <f>IF(Productos!E355="","",Productos!E355)</f>
        <v>7.95</v>
      </c>
      <c r="E35" t="inlineStr"/>
    </row>
    <row r="36">
      <c r="A36" t="n">
        <v>358</v>
      </c>
      <c r="B36" t="str">
        <f>Productos!C356</f>
        <v>Jamón serrano (tapa)</v>
      </c>
      <c r="C36" s="2">
        <f>IF(Productos!D356="","",Productos!D356)</f>
        <v>6.5</v>
      </c>
      <c r="D36" s="2">
        <f>IF(Productos!E356="","",Productos!E356)</f>
        <v>6.7</v>
      </c>
      <c r="E36" t="inlineStr"/>
    </row>
    <row r="37">
      <c r="A37" t="n">
        <v>359</v>
      </c>
      <c r="B37" t="str">
        <f>Productos!C357</f>
        <v>Tapa de jamón ibérico</v>
      </c>
      <c r="C37" s="2">
        <f>IF(Productos!D357="","",Productos!D357)</f>
        <v>12.5</v>
      </c>
      <c r="D37" s="2">
        <f>IF(Productos!E357="","",Productos!E357)</f>
        <v>12.7</v>
      </c>
      <c r="E37" t="inlineStr"/>
    </row>
  </sheetData>
  <autoFilter ref="A1:E37"/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48" customWidth="1" min="2" max="2"/>
    <col width="13" customWidth="1" min="3" max="3"/>
    <col width="22" customWidth="1" min="4" max="4"/>
    <col width="62" customWidth="1" min="5" max="5"/>
  </cols>
  <sheetData>
    <row r="1">
      <c r="A1" s="1" t="inlineStr">
        <is>
          <t>Código</t>
        </is>
      </c>
      <c r="B1" s="1" t="inlineStr">
        <is>
          <t>Nombre</t>
        </is>
      </c>
      <c r="C1" s="1" t="inlineStr">
        <is>
          <t>Tarifa 1 (€)</t>
        </is>
      </c>
      <c r="D1" s="1" t="inlineStr">
        <is>
          <t>Tarifa 2 - Terraza (€)</t>
        </is>
      </c>
      <c r="E1" s="1" t="inlineStr">
        <is>
          <t>Nota</t>
        </is>
      </c>
    </row>
    <row r="2">
      <c r="A2" t="n">
        <v>360</v>
      </c>
      <c r="B2" t="str">
        <f>Productos!C358</f>
        <v>Torrada sobrasada, formatge i ou de guatlla (1)</v>
      </c>
      <c r="C2" s="2">
        <f>IF(Productos!D358="","",Productos!D358)</f>
        <v>6.95</v>
      </c>
      <c r="D2" s="2">
        <f>IF(Productos!E358="","",Productos!E358)</f>
        <v>7.15</v>
      </c>
      <c r="E2" t="inlineStr"/>
    </row>
    <row r="3">
      <c r="A3" t="n">
        <v>361</v>
      </c>
      <c r="B3" t="str">
        <f>Productos!C359</f>
        <v>Torrada cansalada, xistorra, ou i formatge (2)</v>
      </c>
      <c r="C3" s="2">
        <f>IF(Productos!D359="","",Productos!D359)</f>
        <v>7.95</v>
      </c>
      <c r="D3" s="2">
        <f>IF(Productos!E359="","",Productos!E359)</f>
        <v>8.15</v>
      </c>
      <c r="E3" t="inlineStr"/>
    </row>
    <row r="4">
      <c r="A4" t="n">
        <v>362</v>
      </c>
      <c r="B4" t="str">
        <f>Productos!C360</f>
        <v>Torrada pollastre, xampinyons, ou, ceba i formatge (3)</v>
      </c>
      <c r="C4" s="2">
        <f>IF(Productos!D360="","",Productos!D360)</f>
        <v>7.95</v>
      </c>
      <c r="D4" s="2">
        <f>IF(Productos!E360="","",Productos!E360)</f>
        <v>8.15</v>
      </c>
      <c r="E4" t="inlineStr"/>
    </row>
    <row r="5">
      <c r="A5" t="n">
        <v>363</v>
      </c>
      <c r="B5" t="str">
        <f>Productos!C361</f>
        <v>Torrada vedella, xampinyons, ceba i formatge (4)</v>
      </c>
      <c r="C5" s="2">
        <f>IF(Productos!D361="","",Productos!D361)</f>
        <v>7.15</v>
      </c>
      <c r="D5" s="2">
        <f>IF(Productos!E361="","",Productos!E361)</f>
        <v>7.35</v>
      </c>
      <c r="E5" t="inlineStr"/>
    </row>
    <row r="6">
      <c r="A6" t="n">
        <v>364</v>
      </c>
      <c r="B6" t="str">
        <f>Productos!C362</f>
        <v>Torrada de llom (5)</v>
      </c>
      <c r="C6" s="2">
        <f>IF(Productos!D362="","",Productos!D362)</f>
        <v>5.5</v>
      </c>
      <c r="D6" s="2">
        <f>IF(Productos!E362="","",Productos!E362)</f>
        <v>5.7</v>
      </c>
      <c r="E6" t="inlineStr"/>
    </row>
    <row r="7">
      <c r="A7" t="n">
        <v>365</v>
      </c>
      <c r="B7" t="str">
        <f>Productos!C363</f>
        <v>Torrada de pollastre (6)</v>
      </c>
      <c r="C7" s="2">
        <f>IF(Productos!D363="","",Productos!D363)</f>
        <v>5.95</v>
      </c>
      <c r="D7" s="2">
        <f>IF(Productos!E363="","",Productos!E363)</f>
        <v>6.15</v>
      </c>
      <c r="E7" t="inlineStr"/>
    </row>
    <row r="8">
      <c r="A8" t="n">
        <v>366</v>
      </c>
      <c r="B8" t="str">
        <f>Productos!C364</f>
        <v>Torrada de truita francesa</v>
      </c>
      <c r="C8" s="2">
        <f>IF(Productos!D364="","",Productos!D364)</f>
        <v>4.6</v>
      </c>
      <c r="D8" s="2">
        <f>IF(Productos!E364="","",Productos!E364)</f>
        <v>4.8</v>
      </c>
      <c r="E8" t="inlineStr"/>
    </row>
    <row r="9">
      <c r="A9" t="n">
        <v>367</v>
      </c>
      <c r="B9" t="str">
        <f>Productos!C365</f>
        <v>Torrada d'escalivada i anxova</v>
      </c>
      <c r="C9" s="2">
        <f>IF(Productos!D365="","",Productos!D365)</f>
        <v>7.6</v>
      </c>
      <c r="D9" s="2">
        <f>IF(Productos!E365="","",Productos!E365)</f>
        <v>7.8</v>
      </c>
      <c r="E9" t="inlineStr"/>
    </row>
    <row r="10">
      <c r="A10" t="n">
        <v>368</v>
      </c>
      <c r="B10" t="str">
        <f>Productos!C366</f>
        <v>Torrada de pinxo</v>
      </c>
      <c r="C10" s="2">
        <f>IF(Productos!D366="","",Productos!D366)</f>
        <v>6.6</v>
      </c>
      <c r="D10" s="2">
        <f>IF(Productos!E366="","",Productos!E366)</f>
        <v>6.8</v>
      </c>
      <c r="E10" t="inlineStr"/>
    </row>
    <row r="11">
      <c r="A11" t="n">
        <v>369</v>
      </c>
      <c r="B11" t="str">
        <f>Productos!C367</f>
        <v>Torrada de botifarra</v>
      </c>
      <c r="C11" s="2">
        <f>IF(Productos!D367="","",Productos!D367)</f>
        <v>5.6</v>
      </c>
      <c r="D11" s="2">
        <f>IF(Productos!E367="","",Productos!E367)</f>
        <v>5.8</v>
      </c>
      <c r="E11" t="inlineStr"/>
    </row>
    <row r="12">
      <c r="A12" t="n">
        <v>370</v>
      </c>
      <c r="B12" t="str">
        <f>Productos!C368</f>
        <v>Torrada de llonganissa</v>
      </c>
      <c r="C12" s="2">
        <f>IF(Productos!D368="","",Productos!D368)</f>
        <v>6.75</v>
      </c>
      <c r="D12" s="2">
        <f>IF(Productos!E368="","",Productos!E368)</f>
        <v>6.95</v>
      </c>
      <c r="E12" t="inlineStr"/>
    </row>
    <row r="13">
      <c r="A13" t="n">
        <v>371</v>
      </c>
      <c r="B13" t="str">
        <f>Productos!C369</f>
        <v>Escalivada de pebrot vermell i albergínia</v>
      </c>
      <c r="C13" s="2">
        <f>IF(Productos!D369="","",Productos!D369)</f>
        <v>9.85</v>
      </c>
      <c r="D13" s="2">
        <f>IF(Productos!E369="","",Productos!E369)</f>
        <v>10.05</v>
      </c>
      <c r="E13" t="inlineStr"/>
    </row>
    <row r="14">
      <c r="A14" t="n">
        <v>372</v>
      </c>
      <c r="B14" t="str">
        <f>Productos!C370</f>
        <v>Torrada de formatge manxec i anxoves</v>
      </c>
      <c r="C14" s="2">
        <f>IF(Productos!D370="","",Productos!D370)</f>
        <v>8.5</v>
      </c>
      <c r="D14" s="2">
        <f>IF(Productos!E370="","",Productos!E370)</f>
        <v>8.7</v>
      </c>
      <c r="E14" t="inlineStr"/>
    </row>
    <row r="15">
      <c r="A15" t="n">
        <v>373</v>
      </c>
      <c r="B15" t="str">
        <f>Productos!C371</f>
        <v>Torrada de xoriço ibèric</v>
      </c>
      <c r="C15" s="2">
        <f>IF(Productos!D371="","",Productos!D371)</f>
        <v>6.5</v>
      </c>
      <c r="D15" s="2">
        <f>IF(Productos!E371="","",Productos!E371)</f>
        <v>6.7</v>
      </c>
      <c r="E15" t="inlineStr"/>
    </row>
    <row r="16">
      <c r="A16" t="n">
        <v>374</v>
      </c>
      <c r="B16" t="str">
        <f>Productos!C372</f>
        <v>Torrada de salmó i formatge fresc</v>
      </c>
      <c r="C16" s="2">
        <f>IF(Productos!D372="","",Productos!D372)</f>
        <v>7.5</v>
      </c>
      <c r="D16" s="2">
        <f>IF(Productos!E372="","",Productos!E372)</f>
        <v>7.7</v>
      </c>
      <c r="E16" t="inlineStr"/>
    </row>
    <row r="17">
      <c r="A17" t="n">
        <v>375</v>
      </c>
      <c r="B17" t="str">
        <f>Productos!C373</f>
        <v>Torrada de pernil serrà</v>
      </c>
      <c r="C17" s="2">
        <f>IF(Productos!D373="","",Productos!D373)</f>
        <v>7.05</v>
      </c>
      <c r="D17" s="2">
        <f>IF(Productos!E373="","",Productos!E373)</f>
        <v>7.25</v>
      </c>
      <c r="E17" t="inlineStr"/>
    </row>
    <row r="18">
      <c r="A18" t="n">
        <v>376</v>
      </c>
      <c r="B18" t="str">
        <f>Productos!C374</f>
        <v>Torrada de pernil ibèric</v>
      </c>
      <c r="C18" s="2">
        <f>IF(Productos!D374="","",Productos!D374)</f>
        <v>10.25</v>
      </c>
      <c r="D18" s="2">
        <f>IF(Productos!E374="","",Productos!E374)</f>
        <v>10.45</v>
      </c>
      <c r="E18" t="inlineStr"/>
    </row>
    <row r="19">
      <c r="A19" t="n">
        <v>377</v>
      </c>
      <c r="B19" t="str">
        <f>Productos!C375</f>
        <v>Torrada de formatge manxec</v>
      </c>
      <c r="C19" s="2">
        <f>IF(Productos!D375="","",Productos!D375)</f>
        <v>8.05</v>
      </c>
      <c r="D19" s="2">
        <f>IF(Productos!E375="","",Productos!E375)</f>
        <v>8.25</v>
      </c>
      <c r="E19" t="inlineStr"/>
    </row>
    <row r="20">
      <c r="A20" t="n">
        <v>378</v>
      </c>
      <c r="B20" t="str">
        <f>Productos!C376</f>
        <v>Torrada de formatge semicurat</v>
      </c>
      <c r="C20" s="2">
        <f>IF(Productos!D376="","",Productos!D376)</f>
        <v>7.5</v>
      </c>
      <c r="D20" s="2">
        <f>IF(Productos!E376="","",Productos!E376)</f>
        <v>7.7</v>
      </c>
      <c r="E20" t="inlineStr"/>
    </row>
  </sheetData>
  <autoFilter ref="A1:E20"/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48" customWidth="1" min="2" max="2"/>
    <col width="13" customWidth="1" min="3" max="3"/>
    <col width="22" customWidth="1" min="4" max="4"/>
    <col width="62" customWidth="1" min="5" max="5"/>
  </cols>
  <sheetData>
    <row r="1">
      <c r="A1" s="1" t="inlineStr">
        <is>
          <t>Código</t>
        </is>
      </c>
      <c r="B1" s="1" t="inlineStr">
        <is>
          <t>Nombre</t>
        </is>
      </c>
      <c r="C1" s="1" t="inlineStr">
        <is>
          <t>Tarifa 1 (€)</t>
        </is>
      </c>
      <c r="D1" s="1" t="inlineStr">
        <is>
          <t>Tarifa 2 - Terraza (€)</t>
        </is>
      </c>
      <c r="E1" s="1" t="inlineStr">
        <is>
          <t>Nota</t>
        </is>
      </c>
    </row>
    <row r="2">
      <c r="A2" t="n">
        <v>379</v>
      </c>
      <c r="B2" t="str">
        <f>Productos!C377</f>
        <v>Ampolla de vi blanc</v>
      </c>
      <c r="C2" s="2">
        <f>IF(Productos!D377="","",Productos!D377)</f>
        <v>13.5</v>
      </c>
      <c r="D2" s="2">
        <f>IF(Productos!E377="","",Productos!E377)</f>
        <v>13.7</v>
      </c>
      <c r="E2" t="inlineStr"/>
    </row>
    <row r="3">
      <c r="A3" t="n">
        <v>380</v>
      </c>
      <c r="B3" t="str">
        <f>Productos!C378</f>
        <v>Ampolla de vi negre</v>
      </c>
      <c r="C3" s="2">
        <f>IF(Productos!D378="","",Productos!D378)</f>
        <v>12.5</v>
      </c>
      <c r="D3" s="2">
        <f>IF(Productos!E378="","",Productos!E378)</f>
        <v>12.7</v>
      </c>
      <c r="E3" t="inlineStr"/>
    </row>
    <row r="4">
      <c r="A4" t="n">
        <v>381</v>
      </c>
      <c r="B4" t="str">
        <f>Productos!C379</f>
        <v>Ampolla de vi rosat</v>
      </c>
      <c r="C4" s="2">
        <f>IF(Productos!D379="","",Productos!D379)</f>
        <v>12.5</v>
      </c>
      <c r="D4" s="2">
        <f>IF(Productos!E379="","",Productos!E379)</f>
        <v>12.7</v>
      </c>
      <c r="E4" t="inlineStr"/>
    </row>
    <row r="5">
      <c r="A5" t="n">
        <v>382</v>
      </c>
      <c r="B5" t="str">
        <f>Productos!C380</f>
        <v>Azabache</v>
      </c>
      <c r="C5" s="2">
        <f>IF(Productos!D380="","",Productos!D380)</f>
        <v>12.5</v>
      </c>
      <c r="D5" s="2">
        <f>IF(Productos!E380="","",Productos!E380)</f>
        <v>12.7</v>
      </c>
      <c r="E5" t="inlineStr"/>
    </row>
    <row r="6">
      <c r="A6" t="n">
        <v>383</v>
      </c>
      <c r="B6" t="str">
        <f>Productos!C381</f>
        <v>Sangría de vino</v>
      </c>
      <c r="C6" s="2">
        <f>IF(Productos!D381="","",Productos!D381)</f>
        <v>9</v>
      </c>
      <c r="D6" s="2">
        <f>IF(Productos!E381="","",Productos!E381)</f>
        <v>9.2</v>
      </c>
      <c r="E6" t="inlineStr"/>
    </row>
    <row r="7">
      <c r="A7" t="n">
        <v>384</v>
      </c>
      <c r="B7" t="str">
        <f>Productos!C382</f>
        <v>Sangría de cava</v>
      </c>
      <c r="C7" s="2">
        <f>IF(Productos!D382="","",Productos!D382)</f>
        <v>12.5</v>
      </c>
      <c r="D7" s="2">
        <f>IF(Productos!E382="","",Productos!E382)</f>
        <v>12.7</v>
      </c>
      <c r="E7" t="inlineStr"/>
    </row>
    <row r="8">
      <c r="A8" s="3" t="n">
        <v>385</v>
      </c>
      <c r="B8" s="3" t="str">
        <f>Productos!C383</f>
        <v>Tinto de verano</v>
      </c>
      <c r="C8" s="4">
        <f>IF(Productos!D383="","",Productos!D383)</f>
        <v>5.65</v>
      </c>
      <c r="D8" s="4">
        <f>IF(Productos!E383="","",Productos!E383)</f>
        <v>5.85</v>
      </c>
      <c r="E8" s="3" t="inlineStr">
        <is>
          <t>Revisar: aparece más de una vez con precios distintos</t>
        </is>
      </c>
    </row>
    <row r="9">
      <c r="A9" t="n">
        <v>386</v>
      </c>
      <c r="B9" t="str">
        <f>Productos!C384</f>
        <v>Martini blanco</v>
      </c>
      <c r="C9" s="2">
        <f>IF(Productos!D384="","",Productos!D384)</f>
        <v>4.75</v>
      </c>
      <c r="D9" s="2">
        <f>IF(Productos!E384="","",Productos!E384)</f>
        <v>4.95</v>
      </c>
      <c r="E9" t="inlineStr"/>
    </row>
    <row r="10">
      <c r="A10" t="n">
        <v>387</v>
      </c>
      <c r="B10" t="str">
        <f>Productos!C385</f>
        <v>Martini rojo</v>
      </c>
      <c r="C10" s="2">
        <f>IF(Productos!D385="","",Productos!D385)</f>
        <v>4.75</v>
      </c>
      <c r="D10" s="2">
        <f>IF(Productos!E385="","",Productos!E385)</f>
        <v>4.95</v>
      </c>
      <c r="E10" t="inlineStr"/>
    </row>
    <row r="11">
      <c r="A11" t="n">
        <v>388</v>
      </c>
      <c r="B11" t="str">
        <f>Productos!C386</f>
        <v>Copa de vino tinto</v>
      </c>
      <c r="C11" s="2">
        <f>IF(Productos!D386="","",Productos!D386)</f>
        <v>3.05</v>
      </c>
      <c r="D11" s="2">
        <f>IF(Productos!E386="","",Productos!E386)</f>
        <v>3.25</v>
      </c>
      <c r="E11" t="inlineStr"/>
    </row>
    <row r="12">
      <c r="A12" t="n">
        <v>389</v>
      </c>
      <c r="B12" t="str">
        <f>Productos!C387</f>
        <v>Copa de vino blanco</v>
      </c>
      <c r="C12" s="2">
        <f>IF(Productos!D387="","",Productos!D387)</f>
        <v>3.05</v>
      </c>
      <c r="D12" s="2">
        <f>IF(Productos!E387="","",Productos!E387)</f>
        <v>3.25</v>
      </c>
      <c r="E12" t="inlineStr"/>
    </row>
    <row r="13">
      <c r="A13" t="n">
        <v>390</v>
      </c>
      <c r="B13" t="str">
        <f>Productos!C388</f>
        <v>Copa de vino rosado</v>
      </c>
      <c r="C13" s="2">
        <f>IF(Productos!D388="","",Productos!D388)</f>
        <v>3.05</v>
      </c>
      <c r="D13" s="2">
        <f>IF(Productos!E388="","",Productos!E388)</f>
        <v>3.25</v>
      </c>
      <c r="E13" t="inlineStr"/>
    </row>
    <row r="14">
      <c r="A14" t="n">
        <v>391</v>
      </c>
      <c r="B14" t="str">
        <f>Productos!C389</f>
        <v>Vermut casero</v>
      </c>
      <c r="C14" s="2">
        <f>IF(Productos!D389="","",Productos!D389)</f>
        <v>3.95</v>
      </c>
      <c r="D14" s="2">
        <f>IF(Productos!E389="","",Productos!E389)</f>
        <v>4.15</v>
      </c>
      <c r="E14" t="inlineStr"/>
    </row>
    <row r="15">
      <c r="A15" t="n">
        <v>392</v>
      </c>
      <c r="B15" t="str">
        <f>Productos!C390</f>
        <v>Chispazo</v>
      </c>
      <c r="C15" s="2">
        <f>IF(Productos!D390="","",Productos!D390)</f>
        <v>4.95</v>
      </c>
      <c r="D15" s="2">
        <f>IF(Productos!E390="","",Productos!E390)</f>
        <v>5.15</v>
      </c>
      <c r="E15" t="inlineStr"/>
    </row>
    <row r="16">
      <c r="A16" t="n">
        <v>393</v>
      </c>
      <c r="B16" t="str">
        <f>Productos!C391</f>
        <v>Vermut blanco o rojo</v>
      </c>
      <c r="C16" s="2">
        <f>IF(Productos!D391="","",Productos!D391)</f>
        <v>5.5</v>
      </c>
      <c r="D16" s="2">
        <f>IF(Productos!E391="","",Productos!E391)</f>
        <v>5.7</v>
      </c>
      <c r="E16" t="inlineStr"/>
    </row>
  </sheetData>
  <autoFilter ref="A1:E16"/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E4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48" customWidth="1" min="2" max="2"/>
    <col width="13" customWidth="1" min="3" max="3"/>
    <col width="22" customWidth="1" min="4" max="4"/>
    <col width="62" customWidth="1" min="5" max="5"/>
  </cols>
  <sheetData>
    <row r="1">
      <c r="A1" s="1" t="inlineStr">
        <is>
          <t>Código</t>
        </is>
      </c>
      <c r="B1" s="1" t="inlineStr">
        <is>
          <t>Nombre</t>
        </is>
      </c>
      <c r="C1" s="1" t="inlineStr">
        <is>
          <t>Tarifa 1 (€)</t>
        </is>
      </c>
      <c r="D1" s="1" t="inlineStr">
        <is>
          <t>Tarifa 2 - Terraza (€)</t>
        </is>
      </c>
      <c r="E1" s="1" t="inlineStr">
        <is>
          <t>Nota</t>
        </is>
      </c>
    </row>
    <row r="2">
      <c r="A2" t="n">
        <v>394</v>
      </c>
      <c r="B2" t="str">
        <f>Productos!C392</f>
        <v>Cruasán</v>
      </c>
      <c r="C2" s="2">
        <f>IF(Productos!D392="","",Productos!D392)</f>
        <v>1.85</v>
      </c>
      <c r="D2" s="2">
        <f>IF(Productos!E392="","",Productos!E392)</f>
        <v>2.05</v>
      </c>
      <c r="E2" t="inlineStr"/>
    </row>
    <row r="3">
      <c r="A3" t="n">
        <v>395</v>
      </c>
      <c r="B3" t="str">
        <f>Productos!C393</f>
        <v>Cruasán de chocolate</v>
      </c>
      <c r="C3" s="2">
        <f>IF(Productos!D393="","",Productos!D393)</f>
        <v>1.95</v>
      </c>
      <c r="D3" s="2">
        <f>IF(Productos!E393="","",Productos!E393)</f>
        <v>2.15</v>
      </c>
      <c r="E3" t="inlineStr"/>
    </row>
    <row r="4">
      <c r="A4" t="n">
        <v>396</v>
      </c>
      <c r="B4" t="str">
        <f>Productos!C394</f>
        <v>Buñuelo</v>
      </c>
      <c r="C4" s="2">
        <f>IF(Productos!D394="","",Productos!D394)</f>
        <v>0.35</v>
      </c>
      <c r="D4" s="2">
        <f>IF(Productos!E394="","",Productos!E394)</f>
        <v>0.55</v>
      </c>
      <c r="E4" t="inlineStr"/>
    </row>
    <row r="5">
      <c r="A5" t="n">
        <v>397</v>
      </c>
      <c r="B5" t="str">
        <f>Productos!C395</f>
        <v>Bollería especial</v>
      </c>
      <c r="C5" s="2">
        <f>IF(Productos!D395="","",Productos!D395)</f>
        <v>2.3</v>
      </c>
      <c r="D5" s="2">
        <f>IF(Productos!E395="","",Productos!E395)</f>
        <v>2.5</v>
      </c>
      <c r="E5" t="inlineStr"/>
    </row>
    <row r="6">
      <c r="A6" t="n">
        <v>398</v>
      </c>
      <c r="B6" t="str">
        <f>Productos!C396</f>
        <v>Mini cruasán</v>
      </c>
      <c r="C6" s="2">
        <f>IF(Productos!D396="","",Productos!D396)</f>
        <v>0.65</v>
      </c>
      <c r="D6" s="2">
        <f>IF(Productos!E396="","",Productos!E396)</f>
        <v>0.85</v>
      </c>
      <c r="E6" t="inlineStr"/>
    </row>
    <row r="7">
      <c r="A7" t="n">
        <v>399</v>
      </c>
      <c r="B7" t="str">
        <f>Productos!C397</f>
        <v>Llesca de pan con mermelada</v>
      </c>
      <c r="C7" s="2">
        <f>IF(Productos!D397="","",Productos!D397)</f>
        <v>1.95</v>
      </c>
      <c r="D7" s="2">
        <f>IF(Productos!E397="","",Productos!E397)</f>
        <v>2.15</v>
      </c>
      <c r="E7" t="inlineStr"/>
    </row>
    <row r="8">
      <c r="A8" t="n">
        <v>400</v>
      </c>
      <c r="B8" t="str">
        <f>Productos!C398</f>
        <v>Mini de jamón dulce</v>
      </c>
      <c r="C8" s="2">
        <f>IF(Productos!D398="","",Productos!D398)</f>
        <v>2.55</v>
      </c>
      <c r="D8" s="2">
        <f>IF(Productos!E398="","",Productos!E398)</f>
        <v>2.75</v>
      </c>
      <c r="E8" t="inlineStr"/>
    </row>
    <row r="9">
      <c r="A9" t="n">
        <v>401</v>
      </c>
      <c r="B9" t="str">
        <f>Productos!C399</f>
        <v>Mini de jamón salado</v>
      </c>
      <c r="C9" s="2">
        <f>IF(Productos!D399="","",Productos!D399)</f>
        <v>2.85</v>
      </c>
      <c r="D9" s="2">
        <f>IF(Productos!E399="","",Productos!E399)</f>
        <v>3.05</v>
      </c>
      <c r="E9" t="inlineStr"/>
    </row>
    <row r="10">
      <c r="A10" t="n">
        <v>402</v>
      </c>
      <c r="B10" t="str">
        <f>Productos!C400</f>
        <v>Mini de queso</v>
      </c>
      <c r="C10" s="2">
        <f>IF(Productos!D400="","",Productos!D400)</f>
        <v>3</v>
      </c>
      <c r="D10" s="2">
        <f>IF(Productos!E400="","",Productos!E400)</f>
        <v>3.2</v>
      </c>
      <c r="E10" t="inlineStr"/>
    </row>
    <row r="11">
      <c r="A11" t="n">
        <v>403</v>
      </c>
      <c r="B11" t="str">
        <f>Productos!C401</f>
        <v>Mini de queso manchego</v>
      </c>
      <c r="C11" s="2">
        <f>IF(Productos!D401="","",Productos!D401)</f>
        <v>3.05</v>
      </c>
      <c r="D11" s="2">
        <f>IF(Productos!E401="","",Productos!E401)</f>
        <v>3.25</v>
      </c>
      <c r="E11" t="inlineStr"/>
    </row>
    <row r="12">
      <c r="A12" t="n">
        <v>404</v>
      </c>
      <c r="B12" t="str">
        <f>Productos!C402</f>
        <v>Mini de fuet</v>
      </c>
      <c r="C12" s="2">
        <f>IF(Productos!D402="","",Productos!D402)</f>
        <v>2.85</v>
      </c>
      <c r="D12" s="2">
        <f>IF(Productos!E402="","",Productos!E402)</f>
        <v>3.05</v>
      </c>
      <c r="E12" t="inlineStr"/>
    </row>
    <row r="13">
      <c r="A13" t="n">
        <v>405</v>
      </c>
      <c r="B13" t="str">
        <f>Productos!C403</f>
        <v>Mini de tortilla</v>
      </c>
      <c r="C13" s="2">
        <f>IF(Productos!D403="","",Productos!D403)</f>
        <v>2.85</v>
      </c>
      <c r="D13" s="2">
        <f>IF(Productos!E403="","",Productos!E403)</f>
        <v>3.05</v>
      </c>
      <c r="E13" t="inlineStr"/>
    </row>
    <row r="14">
      <c r="A14" t="n">
        <v>406</v>
      </c>
      <c r="B14" t="str">
        <f>Productos!C404</f>
        <v>Mini de atún</v>
      </c>
      <c r="C14" s="2">
        <f>IF(Productos!D404="","",Productos!D404)</f>
        <v>2.65</v>
      </c>
      <c r="D14" s="2">
        <f>IF(Productos!E404="","",Productos!E404)</f>
        <v>2.85</v>
      </c>
      <c r="E14" t="inlineStr"/>
    </row>
    <row r="15">
      <c r="A15" s="3" t="n">
        <v>407</v>
      </c>
      <c r="B15" s="3" t="str">
        <f>Productos!C405</f>
        <v>Mini vegetal</v>
      </c>
      <c r="C15" s="4">
        <f>IF(Productos!D405="","",Productos!D405)</f>
        <v>2.6</v>
      </c>
      <c r="D15" s="4">
        <f>IF(Productos!E405="","",Productos!E405)</f>
        <v>2.8</v>
      </c>
      <c r="E15" s="3" t="inlineStr">
        <is>
          <t>Revisar: aparece más de una vez con precios distintos</t>
        </is>
      </c>
    </row>
    <row r="16">
      <c r="A16" t="n">
        <v>408</v>
      </c>
      <c r="B16" t="str">
        <f>Productos!C406</f>
        <v>Tostada con mantequilla</v>
      </c>
      <c r="C16" s="2">
        <f>IF(Productos!D406="","",Productos!D406)</f>
        <v>1.95</v>
      </c>
      <c r="D16" s="2">
        <f>IF(Productos!E406="","",Productos!E406)</f>
        <v>2.15</v>
      </c>
      <c r="E16" t="inlineStr"/>
    </row>
    <row r="17">
      <c r="A17" t="n">
        <v>409</v>
      </c>
      <c r="B17" t="str">
        <f>Productos!C407</f>
        <v>Mini + café</v>
      </c>
      <c r="C17" s="2">
        <f>IF(Productos!D407="","",Productos!D407)</f>
        <v>3.15</v>
      </c>
      <c r="D17" s="2">
        <f>IF(Productos!E407="","",Productos!E407)</f>
        <v>3.35</v>
      </c>
      <c r="E17" t="inlineStr"/>
    </row>
    <row r="18">
      <c r="A18" t="n">
        <v>410</v>
      </c>
      <c r="B18" t="str">
        <f>Productos!C408</f>
        <v>Tostada con aceite</v>
      </c>
      <c r="C18" s="2">
        <f>IF(Productos!D408="","",Productos!D408)</f>
        <v>2.45</v>
      </c>
      <c r="D18" s="2">
        <f>IF(Productos!E408="","",Productos!E408)</f>
        <v>2.65</v>
      </c>
      <c r="E18" t="inlineStr"/>
    </row>
    <row r="19">
      <c r="A19" t="n">
        <v>411</v>
      </c>
      <c r="B19" t="str">
        <f>Productos!C409</f>
        <v>Mini burger</v>
      </c>
      <c r="C19" s="2">
        <f>IF(Productos!D409="","",Productos!D409)</f>
        <v>3.35</v>
      </c>
      <c r="D19" s="2">
        <f>IF(Productos!E409="","",Productos!E409)</f>
        <v>3.55</v>
      </c>
      <c r="E19" t="inlineStr"/>
    </row>
    <row r="20">
      <c r="A20" t="n">
        <v>412</v>
      </c>
      <c r="B20" t="str">
        <f>Productos!C410</f>
        <v>Mini de jamón ibérico</v>
      </c>
      <c r="C20" s="2">
        <f>IF(Productos!D410="","",Productos!D410)</f>
        <v>3.05</v>
      </c>
      <c r="D20" s="2">
        <f>IF(Productos!E410="","",Productos!E410)</f>
        <v>3.25</v>
      </c>
      <c r="E20" t="inlineStr"/>
    </row>
    <row r="21">
      <c r="A21" t="n">
        <v>413</v>
      </c>
      <c r="B21" t="str">
        <f>Productos!C411</f>
        <v>Mini de ternera</v>
      </c>
      <c r="C21" s="2">
        <f>IF(Productos!D411="","",Productos!D411)</f>
        <v>2.95</v>
      </c>
      <c r="D21" s="2">
        <f>IF(Productos!E411="","",Productos!E411)</f>
        <v>3.15</v>
      </c>
      <c r="E21" t="inlineStr"/>
    </row>
    <row r="22">
      <c r="A22" t="n">
        <v>414</v>
      </c>
      <c r="B22" t="str">
        <f>Productos!C412</f>
        <v>Mini + carajillo o caña</v>
      </c>
      <c r="C22" s="2">
        <f>IF(Productos!D412="","",Productos!D412)</f>
        <v>4.85</v>
      </c>
      <c r="D22" s="2">
        <f>IF(Productos!E412="","",Productos!E412)</f>
        <v>5.05</v>
      </c>
      <c r="E22" t="inlineStr"/>
    </row>
    <row r="23">
      <c r="A23" t="n">
        <v>415</v>
      </c>
      <c r="B23" t="str">
        <f>Productos!C413</f>
        <v>Mini de tortilla de patata</v>
      </c>
      <c r="C23" s="2">
        <f>IF(Productos!D413="","",Productos!D413)</f>
        <v>3.1</v>
      </c>
      <c r="D23" s="2">
        <f>IF(Productos!E413="","",Productos!E413)</f>
        <v>3.3</v>
      </c>
      <c r="E23" t="inlineStr"/>
    </row>
    <row r="24">
      <c r="A24" t="n">
        <v>416</v>
      </c>
      <c r="B24" t="str">
        <f>Productos!C414</f>
        <v>Mini caliente + refresco</v>
      </c>
      <c r="C24" s="2">
        <f>IF(Productos!D414="","",Productos!D414)</f>
        <v>3.85</v>
      </c>
      <c r="D24" s="2">
        <f>IF(Productos!E414="","",Productos!E414)</f>
        <v>4.05</v>
      </c>
      <c r="E24" t="inlineStr"/>
    </row>
    <row r="25">
      <c r="A25" t="n">
        <v>417</v>
      </c>
      <c r="B25" t="str">
        <f>Productos!C415</f>
        <v>Desayuno Rafa</v>
      </c>
      <c r="C25" s="2">
        <f>IF(Productos!D415="","",Productos!D415)</f>
        <v>10.45</v>
      </c>
      <c r="D25" s="2">
        <f>IF(Productos!E415="","",Productos!E415)</f>
        <v>10.65</v>
      </c>
      <c r="E25" t="inlineStr"/>
    </row>
    <row r="26">
      <c r="A26" t="n">
        <v>418</v>
      </c>
      <c r="B26" t="str">
        <f>Productos!C416</f>
        <v>Pan sin gluten</v>
      </c>
      <c r="C26" s="2">
        <f>IF(Productos!D416="","",Productos!D416)</f>
        <v>3.25</v>
      </c>
      <c r="D26" s="2">
        <f>IF(Productos!E416="","",Productos!E416)</f>
        <v>3.45</v>
      </c>
      <c r="E26" t="inlineStr"/>
    </row>
    <row r="27">
      <c r="A27" t="n">
        <v>419</v>
      </c>
      <c r="B27" t="str">
        <f>Productos!C417</f>
        <v>Tostada con mermelada y mantequilla</v>
      </c>
      <c r="C27" s="2">
        <f>IF(Productos!D417="","",Productos!D417)</f>
        <v>2.45</v>
      </c>
      <c r="D27" s="2">
        <f>IF(Productos!E417="","",Productos!E417)</f>
        <v>2.65</v>
      </c>
      <c r="E27" t="inlineStr"/>
    </row>
    <row r="28">
      <c r="A28" t="n">
        <v>420</v>
      </c>
      <c r="B28" t="str">
        <f>Productos!C418</f>
        <v>Mini de bacon</v>
      </c>
      <c r="C28" s="2">
        <f>IF(Productos!D418="","",Productos!D418)</f>
        <v>2.95</v>
      </c>
      <c r="D28" s="2">
        <f>IF(Productos!E418="","",Productos!E418)</f>
        <v>3.15</v>
      </c>
      <c r="E28" t="inlineStr"/>
    </row>
    <row r="29">
      <c r="A29" t="n">
        <v>421</v>
      </c>
      <c r="B29" t="str">
        <f>Productos!C419</f>
        <v>Mini de lomo</v>
      </c>
      <c r="C29" s="2">
        <f>IF(Productos!D419="","",Productos!D419)</f>
        <v>2.65</v>
      </c>
      <c r="D29" s="2">
        <f>IF(Productos!E419="","",Productos!E419)</f>
        <v>2.85</v>
      </c>
      <c r="E29" t="inlineStr"/>
    </row>
    <row r="30">
      <c r="A30" t="n">
        <v>422</v>
      </c>
      <c r="B30" t="str">
        <f>Productos!C420</f>
        <v>Mini de panceta</v>
      </c>
      <c r="C30" s="2">
        <f>IF(Productos!D420="","",Productos!D420)</f>
        <v>3.25</v>
      </c>
      <c r="D30" s="2">
        <f>IF(Productos!E420="","",Productos!E420)</f>
        <v>3.45</v>
      </c>
      <c r="E30" t="inlineStr"/>
    </row>
    <row r="31">
      <c r="A31" t="n">
        <v>423</v>
      </c>
      <c r="B31" t="str">
        <f>Productos!C421</f>
        <v>Mini de salchicha del país</v>
      </c>
      <c r="C31" s="2">
        <f>IF(Productos!D421="","",Productos!D421)</f>
        <v>2.85</v>
      </c>
      <c r="D31" s="2">
        <f>IF(Productos!E421="","",Productos!E421)</f>
        <v>3.05</v>
      </c>
      <c r="E31" t="inlineStr"/>
    </row>
    <row r="32">
      <c r="A32" s="3" t="n">
        <v>424</v>
      </c>
      <c r="B32" s="3" t="str">
        <f>Productos!C422</f>
        <v>Mini vegetal</v>
      </c>
      <c r="C32" s="4">
        <f>IF(Productos!D422="","",Productos!D422)</f>
        <v>3.25</v>
      </c>
      <c r="D32" s="4">
        <f>IF(Productos!E422="","",Productos!E422)</f>
        <v>3.45</v>
      </c>
      <c r="E32" s="3" t="inlineStr">
        <is>
          <t>Revisar: aparece más de una vez con precios distintos</t>
        </is>
      </c>
    </row>
    <row r="33">
      <c r="A33" t="n">
        <v>425</v>
      </c>
      <c r="B33" t="str">
        <f>Productos!C423</f>
        <v>Bollería especial</v>
      </c>
      <c r="C33" s="2">
        <f>IF(Productos!D423="","",Productos!D423)</f>
        <v>2.3</v>
      </c>
      <c r="D33" s="2">
        <f>IF(Productos!E423="","",Productos!E423)</f>
        <v>2.5</v>
      </c>
      <c r="E33" t="inlineStr"/>
    </row>
    <row r="34">
      <c r="A34" t="n">
        <v>426</v>
      </c>
      <c r="B34" t="str">
        <f>Productos!C424</f>
        <v>Mini de pechuga</v>
      </c>
      <c r="C34" s="2">
        <f>IF(Productos!D424="","",Productos!D424)</f>
        <v>2.85</v>
      </c>
      <c r="D34" s="2">
        <f>IF(Productos!E424="","",Productos!E424)</f>
        <v>3.05</v>
      </c>
      <c r="E34" t="inlineStr"/>
    </row>
    <row r="35">
      <c r="A35" t="n">
        <v>427</v>
      </c>
      <c r="B35" t="str">
        <f>Productos!C425</f>
        <v>Tostada con tomate</v>
      </c>
      <c r="C35" s="2">
        <f>IF(Productos!D425="","",Productos!D425)</f>
        <v>2.25</v>
      </c>
      <c r="D35" s="2">
        <f>IF(Productos!E425="","",Productos!E425)</f>
        <v>2.45</v>
      </c>
      <c r="E35" t="inlineStr"/>
    </row>
    <row r="36">
      <c r="A36" t="n">
        <v>428</v>
      </c>
      <c r="B36" t="str">
        <f>Productos!C426</f>
        <v>Mini de frankfurt</v>
      </c>
      <c r="C36" s="2">
        <f>IF(Productos!D426="","",Productos!D426)</f>
        <v>2.85</v>
      </c>
      <c r="D36" s="2">
        <f>IF(Productos!E426="","",Productos!E426)</f>
        <v>3.05</v>
      </c>
      <c r="E36" t="inlineStr"/>
    </row>
    <row r="37">
      <c r="A37" t="n">
        <v>429</v>
      </c>
      <c r="B37" t="str">
        <f>Productos!C427</f>
        <v>Mini de butifarra blanca</v>
      </c>
      <c r="C37" s="2">
        <f>IF(Productos!D427="","",Productos!D427)</f>
        <v>2.95</v>
      </c>
      <c r="D37" s="2">
        <f>IF(Productos!E427="","",Productos!E427)</f>
        <v>3.15</v>
      </c>
      <c r="E37" t="inlineStr"/>
    </row>
    <row r="38">
      <c r="A38" t="n">
        <v>430</v>
      </c>
      <c r="B38" t="str">
        <f>Productos!C428</f>
        <v>Mini de butifarra negra</v>
      </c>
      <c r="C38" s="2">
        <f>IF(Productos!D428="","",Productos!D428)</f>
        <v>2.95</v>
      </c>
      <c r="D38" s="2">
        <f>IF(Productos!E428="","",Productos!E428)</f>
        <v>3.15</v>
      </c>
      <c r="E38" t="inlineStr"/>
    </row>
    <row r="39">
      <c r="A39" t="n">
        <v>431</v>
      </c>
      <c r="B39" t="str">
        <f>Productos!C429</f>
        <v>Donut</v>
      </c>
      <c r="C39" s="2">
        <f>IF(Productos!D429="","",Productos!D429)</f>
        <v>1.5</v>
      </c>
      <c r="D39" s="2">
        <f>IF(Productos!E429="","",Productos!E429)</f>
        <v>1.7</v>
      </c>
      <c r="E39" t="inlineStr"/>
    </row>
    <row r="40">
      <c r="A40" t="n">
        <v>432</v>
      </c>
      <c r="B40" t="str">
        <f>Productos!C430</f>
        <v>Tarta de manzana</v>
      </c>
      <c r="C40" s="2">
        <f>IF(Productos!D430="","",Productos!D430)</f>
        <v>2.4</v>
      </c>
      <c r="D40" s="2">
        <f>IF(Productos!E430="","",Productos!E430)</f>
        <v>2.6</v>
      </c>
      <c r="E40" t="inlineStr"/>
    </row>
    <row r="41">
      <c r="A41" t="n">
        <v>433</v>
      </c>
      <c r="B41" t="str">
        <f>Productos!C431</f>
        <v>Donut XL</v>
      </c>
      <c r="C41" s="2">
        <f>IF(Productos!D431="","",Productos!D431)</f>
        <v>1.9</v>
      </c>
      <c r="D41" s="2">
        <f>IF(Productos!E431="","",Productos!E431)</f>
        <v>2.1</v>
      </c>
      <c r="E41" t="inlineStr"/>
    </row>
    <row r="42">
      <c r="A42" t="n">
        <v>434</v>
      </c>
      <c r="B42" t="str">
        <f>Productos!C432</f>
        <v>Herradura</v>
      </c>
      <c r="C42" s="2">
        <f>IF(Productos!D432="","",Productos!D432)</f>
        <v>2.45</v>
      </c>
      <c r="D42" s="2">
        <f>IF(Productos!E432="","",Productos!E432)</f>
        <v>2.65</v>
      </c>
      <c r="E42" t="inlineStr"/>
    </row>
  </sheetData>
  <autoFilter ref="A1:E42"/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48" customWidth="1" min="2" max="2"/>
    <col width="13" customWidth="1" min="3" max="3"/>
    <col width="22" customWidth="1" min="4" max="4"/>
    <col width="62" customWidth="1" min="5" max="5"/>
  </cols>
  <sheetData>
    <row r="1">
      <c r="A1" s="1" t="inlineStr">
        <is>
          <t>Código</t>
        </is>
      </c>
      <c r="B1" s="1" t="inlineStr">
        <is>
          <t>Nombre</t>
        </is>
      </c>
      <c r="C1" s="1" t="inlineStr">
        <is>
          <t>Tarifa 1 (€)</t>
        </is>
      </c>
      <c r="D1" s="1" t="inlineStr">
        <is>
          <t>Tarifa 2 - Terraza (€)</t>
        </is>
      </c>
      <c r="E1" s="1" t="inlineStr">
        <is>
          <t>Nota</t>
        </is>
      </c>
    </row>
    <row r="2">
      <c r="A2" t="n">
        <v>435</v>
      </c>
      <c r="B2" t="str">
        <f>Productos!C433</f>
        <v>Flauta de jamón serrano</v>
      </c>
      <c r="C2" s="2">
        <f>IF(Productos!D433="","",Productos!D433)</f>
        <v>5.95</v>
      </c>
      <c r="D2" s="2">
        <f>IF(Productos!E433="","",Productos!E433)</f>
        <v>6.15</v>
      </c>
      <c r="E2" t="inlineStr"/>
    </row>
    <row r="3">
      <c r="A3" t="n">
        <v>436</v>
      </c>
      <c r="B3" t="str">
        <f>Productos!C434</f>
        <v>Viena de jamón serrano</v>
      </c>
      <c r="C3" s="2">
        <f>IF(Productos!D434="","",Productos!D434)</f>
        <v>4.35</v>
      </c>
      <c r="D3" s="2">
        <f>IF(Productos!E434="","",Productos!E434)</f>
        <v>4.55</v>
      </c>
      <c r="E3" t="inlineStr"/>
    </row>
    <row r="4">
      <c r="A4" t="n">
        <v>437</v>
      </c>
      <c r="B4" t="str">
        <f>Productos!C435</f>
        <v>Viena de jamón dulce</v>
      </c>
      <c r="C4" s="2">
        <f>IF(Productos!D435="","",Productos!D435)</f>
        <v>4.35</v>
      </c>
      <c r="D4" s="2">
        <f>IF(Productos!E435="","",Productos!E435)</f>
        <v>4.55</v>
      </c>
      <c r="E4" t="inlineStr"/>
    </row>
    <row r="5">
      <c r="A5" t="n">
        <v>438</v>
      </c>
      <c r="B5" t="str">
        <f>Productos!C436</f>
        <v>Flauta de jamón dulce</v>
      </c>
      <c r="C5" s="2">
        <f>IF(Productos!D436="","",Productos!D436)</f>
        <v>5.55</v>
      </c>
      <c r="D5" s="2">
        <f>IF(Productos!E436="","",Productos!E436)</f>
        <v>5.75</v>
      </c>
      <c r="E5" t="inlineStr"/>
    </row>
    <row r="6">
      <c r="A6" t="n">
        <v>439</v>
      </c>
      <c r="B6" t="str">
        <f>Productos!C437</f>
        <v>Flauta de atún</v>
      </c>
      <c r="C6" s="2">
        <f>IF(Productos!D437="","",Productos!D437)</f>
        <v>4.8</v>
      </c>
      <c r="D6" s="2">
        <f>IF(Productos!E437="","",Productos!E437)</f>
        <v>5.0</v>
      </c>
      <c r="E6" t="inlineStr"/>
    </row>
    <row r="7">
      <c r="A7" t="n">
        <v>440</v>
      </c>
      <c r="B7" t="str">
        <f>Productos!C438</f>
        <v>Viena de atún</v>
      </c>
      <c r="C7" s="2">
        <f>IF(Productos!D438="","",Productos!D438)</f>
        <v>4</v>
      </c>
      <c r="D7" s="2">
        <f>IF(Productos!E438="","",Productos!E438)</f>
        <v>4.2</v>
      </c>
      <c r="E7" t="inlineStr"/>
    </row>
    <row r="8">
      <c r="A8" t="n">
        <v>441</v>
      </c>
      <c r="B8" t="str">
        <f>Productos!C439</f>
        <v>Flauta de longaniza</v>
      </c>
      <c r="C8" s="2">
        <f>IF(Productos!D439="","",Productos!D439)</f>
        <v>5.55</v>
      </c>
      <c r="D8" s="2">
        <f>IF(Productos!E439="","",Productos!E439)</f>
        <v>5.75</v>
      </c>
      <c r="E8" t="inlineStr"/>
    </row>
    <row r="9">
      <c r="A9" t="n">
        <v>442</v>
      </c>
      <c r="B9" t="str">
        <f>Productos!C440</f>
        <v>Viena de longaniza</v>
      </c>
      <c r="C9" s="2">
        <f>IF(Productos!D440="","",Productos!D440)</f>
        <v>3.85</v>
      </c>
      <c r="D9" s="2">
        <f>IF(Productos!E440="","",Productos!E440)</f>
        <v>4.05</v>
      </c>
      <c r="E9" t="inlineStr"/>
    </row>
    <row r="10">
      <c r="A10" t="n">
        <v>443</v>
      </c>
      <c r="B10" t="str">
        <f>Productos!C441</f>
        <v>Flauta de jamón ibérico</v>
      </c>
      <c r="C10" s="2">
        <f>IF(Productos!D441="","",Productos!D441)</f>
        <v>7.75</v>
      </c>
      <c r="D10" s="2">
        <f>IF(Productos!E441="","",Productos!E441)</f>
        <v>7.95</v>
      </c>
      <c r="E10" t="inlineStr"/>
    </row>
    <row r="11">
      <c r="A11" t="n">
        <v>444</v>
      </c>
      <c r="B11" t="str">
        <f>Productos!C442</f>
        <v>Flauta de queso semicurado</v>
      </c>
      <c r="C11" s="2">
        <f>IF(Productos!D442="","",Productos!D442)</f>
        <v>6.95</v>
      </c>
      <c r="D11" s="2">
        <f>IF(Productos!E442="","",Productos!E442)</f>
        <v>7.15</v>
      </c>
      <c r="E11" t="inlineStr"/>
    </row>
    <row r="12">
      <c r="A12" t="n">
        <v>445</v>
      </c>
      <c r="B12" t="str">
        <f>Productos!C443</f>
        <v>Viena de queso semicurado</v>
      </c>
      <c r="C12" s="2">
        <f>IF(Productos!D443="","",Productos!D443)</f>
        <v>3.75</v>
      </c>
      <c r="D12" s="2">
        <f>IF(Productos!E443="","",Productos!E443)</f>
        <v>3.95</v>
      </c>
      <c r="E12" t="inlineStr"/>
    </row>
    <row r="13">
      <c r="A13" t="n">
        <v>446</v>
      </c>
      <c r="B13" t="str">
        <f>Productos!C444</f>
        <v>Flauta de anchoas (6 unidades)</v>
      </c>
      <c r="C13" s="2">
        <f>IF(Productos!D444="","",Productos!D444)</f>
        <v>6.1</v>
      </c>
      <c r="D13" s="2">
        <f>IF(Productos!E444="","",Productos!E444)</f>
        <v>6.3</v>
      </c>
      <c r="E13" t="inlineStr"/>
    </row>
    <row r="14">
      <c r="A14" t="n">
        <v>447</v>
      </c>
      <c r="B14" t="str">
        <f>Productos!C445</f>
        <v>Viena de anchoas (4 unidades)</v>
      </c>
      <c r="C14" s="2">
        <f>IF(Productos!D445="","",Productos!D445)</f>
        <v>5.1</v>
      </c>
      <c r="D14" s="2">
        <f>IF(Productos!E445="","",Productos!E445)</f>
        <v>5.3</v>
      </c>
      <c r="E14" t="inlineStr"/>
    </row>
    <row r="15">
      <c r="A15" t="n">
        <v>448</v>
      </c>
      <c r="B15" t="str">
        <f>Productos!C446</f>
        <v>Flauta de queso manchego</v>
      </c>
      <c r="C15" s="2">
        <f>IF(Productos!D446="","",Productos!D446)</f>
        <v>8.5</v>
      </c>
      <c r="D15" s="2">
        <f>IF(Productos!E446="","",Productos!E446)</f>
        <v>8.7</v>
      </c>
      <c r="E15" t="inlineStr"/>
    </row>
  </sheetData>
  <autoFilter ref="A1:E15"/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48" customWidth="1" min="2" max="2"/>
    <col width="13" customWidth="1" min="3" max="3"/>
    <col width="22" customWidth="1" min="4" max="4"/>
    <col width="62" customWidth="1" min="5" max="5"/>
  </cols>
  <sheetData>
    <row r="1">
      <c r="A1" s="1" t="inlineStr">
        <is>
          <t>Código</t>
        </is>
      </c>
      <c r="B1" s="1" t="inlineStr">
        <is>
          <t>Nombre</t>
        </is>
      </c>
      <c r="C1" s="1" t="inlineStr">
        <is>
          <t>Tarifa 1 (€)</t>
        </is>
      </c>
      <c r="D1" s="1" t="inlineStr">
        <is>
          <t>Tarifa 2 - Terraza (€)</t>
        </is>
      </c>
      <c r="E1" s="1" t="inlineStr">
        <is>
          <t>Nota</t>
        </is>
      </c>
    </row>
    <row r="2">
      <c r="A2" t="n">
        <v>449</v>
      </c>
      <c r="B2" t="str">
        <f>Productos!C447</f>
        <v>Cebolla</v>
      </c>
      <c r="C2" s="2">
        <f>IF(Productos!D447="","",Productos!D447)</f>
        <v>1</v>
      </c>
      <c r="D2" s="2">
        <f>IF(Productos!E447="","",Productos!E447)</f>
        <v>1.2</v>
      </c>
      <c r="E2" t="inlineStr"/>
    </row>
    <row r="3">
      <c r="A3" t="n">
        <v>450</v>
      </c>
      <c r="B3" t="str">
        <f>Productos!C448</f>
        <v>Ensalada</v>
      </c>
      <c r="C3" s="2">
        <f>IF(Productos!D448="","",Productos!D448)</f>
        <v>1.2</v>
      </c>
      <c r="D3" s="2">
        <f>IF(Productos!E448="","",Productos!E448)</f>
        <v>1.4</v>
      </c>
      <c r="E3" t="inlineStr"/>
    </row>
  </sheetData>
  <autoFilter ref="A1:E3"/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48" customWidth="1" min="2" max="2"/>
    <col width="13" customWidth="1" min="3" max="3"/>
    <col width="22" customWidth="1" min="4" max="4"/>
    <col width="62" customWidth="1" min="5" max="5"/>
  </cols>
  <sheetData>
    <row r="1">
      <c r="A1" s="1" t="inlineStr">
        <is>
          <t>Código</t>
        </is>
      </c>
      <c r="B1" s="1" t="inlineStr">
        <is>
          <t>Nombre</t>
        </is>
      </c>
      <c r="C1" s="1" t="inlineStr">
        <is>
          <t>Tarifa 1 (€)</t>
        </is>
      </c>
      <c r="D1" s="1" t="inlineStr">
        <is>
          <t>Tarifa 2 - Terraza (€)</t>
        </is>
      </c>
      <c r="E1" s="1" t="inlineStr">
        <is>
          <t>Nota</t>
        </is>
      </c>
    </row>
    <row r="2">
      <c r="A2" t="n">
        <v>451</v>
      </c>
      <c r="B2" t="str">
        <f>Productos!C449</f>
        <v>Chai latte matcha</v>
      </c>
      <c r="C2" s="2">
        <f>IF(Productos!D449="","",Productos!D449)</f>
        <v>3.15</v>
      </c>
      <c r="D2" s="2">
        <f>IF(Productos!E449="","",Productos!E449)</f>
        <v>3.35</v>
      </c>
      <c r="E2" t="inlineStr"/>
    </row>
    <row r="3">
      <c r="A3" t="n">
        <v>452</v>
      </c>
      <c r="B3" t="str">
        <f>Productos!C450</f>
        <v>Chai latte vainilla</v>
      </c>
      <c r="C3" s="2">
        <f>IF(Productos!D450="","",Productos!D450)</f>
        <v>3.15</v>
      </c>
      <c r="D3" s="2">
        <f>IF(Productos!E450="","",Productos!E450)</f>
        <v>3.35</v>
      </c>
      <c r="E3" t="inlineStr"/>
    </row>
    <row r="4">
      <c r="A4" t="n">
        <v>453</v>
      </c>
      <c r="B4" t="str">
        <f>Productos!C451</f>
        <v>Chai latte especiado</v>
      </c>
      <c r="C4" s="2">
        <f>IF(Productos!D451="","",Productos!D451)</f>
        <v>3.15</v>
      </c>
      <c r="D4" s="2">
        <f>IF(Productos!E451="","",Productos!E451)</f>
        <v>3.35</v>
      </c>
      <c r="E4" t="inlineStr"/>
    </row>
    <row r="5">
      <c r="A5" t="n">
        <v>454</v>
      </c>
      <c r="B5" t="str">
        <f>Productos!C452</f>
        <v>Chai latte cúrcuma</v>
      </c>
      <c r="C5" s="2">
        <f>IF(Productos!D452="","",Productos!D452)</f>
        <v>3.15</v>
      </c>
      <c r="D5" s="2">
        <f>IF(Productos!E452="","",Productos!E452)</f>
        <v>3.35</v>
      </c>
      <c r="E5" t="inlineStr"/>
    </row>
    <row r="6">
      <c r="A6" t="n">
        <v>455</v>
      </c>
      <c r="B6" t="str">
        <f>Productos!C453</f>
        <v>Té negro</v>
      </c>
      <c r="C6" s="2">
        <f>IF(Productos!D453="","",Productos!D453)</f>
        <v>2.25</v>
      </c>
      <c r="D6" s="2">
        <f>IF(Productos!E453="","",Productos!E453)</f>
        <v>2.45</v>
      </c>
      <c r="E6" t="inlineStr"/>
    </row>
    <row r="7">
      <c r="A7" t="n">
        <v>456</v>
      </c>
      <c r="B7" t="str">
        <f>Productos!C454</f>
        <v>Té rojo</v>
      </c>
      <c r="C7" s="2">
        <f>IF(Productos!D454="","",Productos!D454)</f>
        <v>2.25</v>
      </c>
      <c r="D7" s="2">
        <f>IF(Productos!E454="","",Productos!E454)</f>
        <v>2.45</v>
      </c>
      <c r="E7" t="inlineStr"/>
    </row>
    <row r="8">
      <c r="A8" t="n">
        <v>457</v>
      </c>
      <c r="B8" t="str">
        <f>Productos!C455</f>
        <v>Té verde</v>
      </c>
      <c r="C8" s="2">
        <f>IF(Productos!D455="","",Productos!D455)</f>
        <v>2.25</v>
      </c>
      <c r="D8" s="2">
        <f>IF(Productos!E455="","",Productos!E455)</f>
        <v>2.45</v>
      </c>
      <c r="E8" t="inlineStr"/>
    </row>
    <row r="9">
      <c r="A9" t="n">
        <v>458</v>
      </c>
      <c r="B9" t="str">
        <f>Productos!C456</f>
        <v>Té frutas del bosque</v>
      </c>
      <c r="C9" s="2">
        <f>IF(Productos!D456="","",Productos!D456)</f>
        <v>2.25</v>
      </c>
      <c r="D9" s="2">
        <f>IF(Productos!E456="","",Productos!E456)</f>
        <v>2.45</v>
      </c>
      <c r="E9" t="inlineStr"/>
    </row>
    <row r="10">
      <c r="A10" t="n">
        <v>459</v>
      </c>
      <c r="B10" t="str">
        <f>Productos!C457</f>
        <v>Té rooibos</v>
      </c>
      <c r="C10" s="2">
        <f>IF(Productos!D457="","",Productos!D457)</f>
        <v>2.25</v>
      </c>
      <c r="D10" s="2">
        <f>IF(Productos!E457="","",Productos!E457)</f>
        <v>2.45</v>
      </c>
      <c r="E10" t="inlineStr"/>
    </row>
    <row r="11">
      <c r="A11" t="n">
        <v>460</v>
      </c>
      <c r="B11" t="str">
        <f>Productos!C458</f>
        <v>Tila</v>
      </c>
      <c r="C11" s="2">
        <f>IF(Productos!D458="","",Productos!D458)</f>
        <v>2.25</v>
      </c>
      <c r="D11" s="2">
        <f>IF(Productos!E458="","",Productos!E458)</f>
        <v>2.45</v>
      </c>
      <c r="E11" t="inlineStr"/>
    </row>
    <row r="12">
      <c r="A12" t="n">
        <v>461</v>
      </c>
      <c r="B12" t="str">
        <f>Productos!C459</f>
        <v>Manzanilla</v>
      </c>
      <c r="C12" s="2">
        <f>IF(Productos!D459="","",Productos!D459)</f>
        <v>2.25</v>
      </c>
      <c r="D12" s="2">
        <f>IF(Productos!E459="","",Productos!E459)</f>
        <v>2.45</v>
      </c>
      <c r="E12" t="inlineStr"/>
    </row>
    <row r="13">
      <c r="A13" t="n">
        <v>462</v>
      </c>
      <c r="B13" t="str">
        <f>Productos!C460</f>
        <v>Poleo menta</v>
      </c>
      <c r="C13" s="2">
        <f>IF(Productos!D460="","",Productos!D460)</f>
        <v>2.25</v>
      </c>
      <c r="D13" s="2">
        <f>IF(Productos!E460="","",Productos!E460)</f>
        <v>2.45</v>
      </c>
      <c r="E13" t="inlineStr"/>
    </row>
    <row r="14">
      <c r="A14" t="n">
        <v>463</v>
      </c>
      <c r="B14" t="str">
        <f>Productos!C461</f>
        <v>Infusión cúrcuma, manzana y canela</v>
      </c>
      <c r="C14" s="2">
        <f>IF(Productos!D461="","",Productos!D461)</f>
        <v>2.25</v>
      </c>
      <c r="D14" s="2">
        <f>IF(Productos!E461="","",Productos!E461)</f>
        <v>2.45</v>
      </c>
      <c r="E14" t="inlineStr"/>
    </row>
    <row r="15">
      <c r="A15" t="n">
        <v>464</v>
      </c>
      <c r="B15" t="str">
        <f>Productos!C462</f>
        <v>Jengibre</v>
      </c>
      <c r="C15" s="2">
        <f>IF(Productos!D462="","",Productos!D462)</f>
        <v>2.25</v>
      </c>
      <c r="D15" s="2">
        <f>IF(Productos!E462="","",Productos!E462)</f>
        <v>2.45</v>
      </c>
      <c r="E15" t="inlineStr"/>
    </row>
  </sheetData>
  <autoFilter ref="A1:E1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2026-10-01T13:45:39Z</dcterms:created>
  <dcterms:modified xsi:type="dcterms:W3CDTF">2026-10-01T13:45:39Z</dcterms:modified>
</cp:coreProperties>
</file>